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äs mig" sheetId="1" state="visible" r:id="rId3"/>
    <sheet name="SCB bakgrund" sheetId="2" state="visible" r:id="rId4"/>
    <sheet name="Historik kommun" sheetId="3" state="visible" r:id="rId5"/>
    <sheet name="KF 2026" sheetId="4" state="visible" r:id="rId6"/>
    <sheet name="RF 2026" sheetId="5" state="visible" r:id="rId7"/>
    <sheet name="RD 2026" sheetId="6" state="visible" r:id="rId8"/>
    <sheet name="Långtabell" sheetId="7" state="visible" r:id="rId9"/>
    <sheet name="Kommuntotaler" sheetId="8" state="visible" r:id="rId10"/>
    <sheet name="Historik distrikt" sheetId="9" state="visible" r:id="rId11"/>
  </sheets>
  <definedNames>
    <definedName function="false" hidden="true" localSheetId="8" name="_xlnm._FilterDatabase" vbProcedure="false">'Historik distrikt'!$A$1:$S$448</definedName>
    <definedName function="false" hidden="true" localSheetId="6" name="_xlnm._FilterDatabase" vbProcedure="false">Långtabell!$A$1:$I$757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<sst xmlns="http://schemas.openxmlformats.org/spreadsheetml/2006/main" count="4118" uniqueCount="236">
  <si>
    <t xml:space="preserve">Valet 2026 i Landskrona – rådata per valdistrikt</t>
  </si>
  <si>
    <t xml:space="preserve">Innehåll</t>
  </si>
  <si>
    <t xml:space="preserve">KF/RF/RD 2026</t>
  </si>
  <si>
    <t xml:space="preserve">Röster per parti och valdistrikt, slutligt valresultat (kommunfullmäktige, regionfullmäktige Skåne, riksdag). Andelar räknas med formler.</t>
  </si>
  <si>
    <t xml:space="preserve">Långtabell</t>
  </si>
  <si>
    <t xml:space="preserve">Alla val, distrikt och partier i ett format för pivotering, med 2022 års jämförbara siffror.</t>
  </si>
  <si>
    <t xml:space="preserve">Kommuntotaler</t>
  </si>
  <si>
    <t xml:space="preserve">Officiella totaler och mandat för Landskrona.</t>
  </si>
  <si>
    <t xml:space="preserve">Källa</t>
  </si>
  <si>
    <t xml:space="preserve">Valmyndigheten, slutligt valresultat 2026 (resultat.val.se, JSON per valdistrikt), hämtat 2026-10-16.</t>
  </si>
  <si>
    <t xml:space="preserve">2022-siffror</t>
  </si>
  <si>
    <t xml:space="preserve">Valmyndighetens omräkning av 2022 års resultat till 2026 års distriktsindelning (fältet "föregående val").</t>
  </si>
  <si>
    <t xml:space="preserve">Övr</t>
  </si>
  <si>
    <t xml:space="preserve">Övriga partier summerade. Vi = Visionpartiet (lokalt parti, endast kommunvalet).</t>
  </si>
  <si>
    <t xml:space="preserve">Uppsamlingsdistrikt</t>
  </si>
  <si>
    <t xml:space="preserve">128200 = sena förtidsröster m.m. Ingår i kommunsumman men saknar geografi och 2022-jämförelse.</t>
  </si>
  <si>
    <t xml:space="preserve">Röstberättigade</t>
  </si>
  <si>
    <t xml:space="preserve">Antal röstberättigade skiljer mellan valen: i kommun- och regionval röstar även utländska medborgare som varit folkbokförda i tre år; utlandssvenskar röstar bara i riksdagsvalet.</t>
  </si>
  <si>
    <t xml:space="preserve">Kontroll</t>
  </si>
  <si>
    <t xml:space="preserve">Distriktssummorna stämmer exakt mot Valmyndighetens kommuntotaler för alla tre val.</t>
  </si>
  <si>
    <t xml:space="preserve">SCB bakgrund</t>
  </si>
  <si>
    <t xml:space="preserve">Bakgrundsvariabler per valdistrikt från SCB:s valanalysverktyg 2026, med korrelationer mot kommunvalsresultatet (formler).</t>
  </si>
  <si>
    <t xml:space="preserve">Historik</t>
  </si>
  <si>
    <t xml:space="preserve">Valresultat 2006–2026 per valdistrikt (fliken Historik distrikt) och kommuntotaler med formler (Historik kommun). Distriktsgränserna ändras mellan valen.</t>
  </si>
  <si>
    <t xml:space="preserve">Distriktskod</t>
  </si>
  <si>
    <t xml:space="preserve">Distrikt</t>
  </si>
  <si>
    <t xml:space="preserve">Röstberättigade RD</t>
  </si>
  <si>
    <t xml:space="preserve">Valdeltagande RD (%)</t>
  </si>
  <si>
    <t xml:space="preserve">Utrikes födda (%)</t>
  </si>
  <si>
    <t xml:space="preserve">Låg inkomst, kvintil 1 (%)</t>
  </si>
  <si>
    <t xml:space="preserve">Hög inkomst, kvintil 5 (%)</t>
  </si>
  <si>
    <t xml:space="preserve">Eftergymnasial ≥3 år (%)</t>
  </si>
  <si>
    <t xml:space="preserve">Ålder 18–29 (%)</t>
  </si>
  <si>
    <t xml:space="preserve">Ålder 65+ (%)</t>
  </si>
  <si>
    <t xml:space="preserve">Utrikes födda (antal)</t>
  </si>
  <si>
    <t xml:space="preserve">Bas ursprung</t>
  </si>
  <si>
    <t xml:space="preserve">Kvintil 1 (antal)</t>
  </si>
  <si>
    <t xml:space="preserve">Kvintil 5 (antal)</t>
  </si>
  <si>
    <t xml:space="preserve">Bas inkomst</t>
  </si>
  <si>
    <t xml:space="preserve">Eftergymn. (antal)</t>
  </si>
  <si>
    <t xml:space="preserve">Bas utbildning</t>
  </si>
  <si>
    <t xml:space="preserve">18–29 (antal)</t>
  </si>
  <si>
    <t xml:space="preserve">65+ (antal)</t>
  </si>
  <si>
    <t xml:space="preserve">Bas ålder</t>
  </si>
  <si>
    <t xml:space="preserve">12820101</t>
  </si>
  <si>
    <t xml:space="preserve">Citadellstaden</t>
  </si>
  <si>
    <t xml:space="preserve">12820102</t>
  </si>
  <si>
    <t xml:space="preserve">Fröjdenborg</t>
  </si>
  <si>
    <t xml:space="preserve">12820103</t>
  </si>
  <si>
    <t xml:space="preserve">Norra Förstaden</t>
  </si>
  <si>
    <t xml:space="preserve">12820104</t>
  </si>
  <si>
    <t xml:space="preserve">Centrum</t>
  </si>
  <si>
    <t xml:space="preserve">12820105</t>
  </si>
  <si>
    <t xml:space="preserve">Dammhagen</t>
  </si>
  <si>
    <t xml:space="preserve">12820106</t>
  </si>
  <si>
    <t xml:space="preserve">Gustav Adolf</t>
  </si>
  <si>
    <t xml:space="preserve">12820107</t>
  </si>
  <si>
    <t xml:space="preserve">S:t Olov</t>
  </si>
  <si>
    <t xml:space="preserve">12820108</t>
  </si>
  <si>
    <t xml:space="preserve">Albano</t>
  </si>
  <si>
    <t xml:space="preserve">12820109</t>
  </si>
  <si>
    <t xml:space="preserve">Larvi</t>
  </si>
  <si>
    <t xml:space="preserve">12820110</t>
  </si>
  <si>
    <t xml:space="preserve">Sandvången</t>
  </si>
  <si>
    <t xml:space="preserve">12820111</t>
  </si>
  <si>
    <t xml:space="preserve">Helgebröten</t>
  </si>
  <si>
    <t xml:space="preserve">12820112</t>
  </si>
  <si>
    <t xml:space="preserve">Norrestad</t>
  </si>
  <si>
    <t xml:space="preserve">12820113</t>
  </si>
  <si>
    <t xml:space="preserve">Karlslund</t>
  </si>
  <si>
    <t xml:space="preserve">12820114</t>
  </si>
  <si>
    <t xml:space="preserve">Västra Fäladen</t>
  </si>
  <si>
    <t xml:space="preserve">12820115</t>
  </si>
  <si>
    <t xml:space="preserve">Drottningen</t>
  </si>
  <si>
    <t xml:space="preserve">12820116</t>
  </si>
  <si>
    <t xml:space="preserve">Svaneholm</t>
  </si>
  <si>
    <t xml:space="preserve">12820117</t>
  </si>
  <si>
    <t xml:space="preserve">Norra Borstahusen</t>
  </si>
  <si>
    <t xml:space="preserve">12820118</t>
  </si>
  <si>
    <t xml:space="preserve">Weibullsholm</t>
  </si>
  <si>
    <t xml:space="preserve">12820201</t>
  </si>
  <si>
    <t xml:space="preserve">Ven</t>
  </si>
  <si>
    <t xml:space="preserve">12820301</t>
  </si>
  <si>
    <t xml:space="preserve">Annelöv</t>
  </si>
  <si>
    <t xml:space="preserve">12820401</t>
  </si>
  <si>
    <t xml:space="preserve">Häljarp Norra</t>
  </si>
  <si>
    <t xml:space="preserve">12820402</t>
  </si>
  <si>
    <t xml:space="preserve">Häljarp Södra</t>
  </si>
  <si>
    <t xml:space="preserve">12820501</t>
  </si>
  <si>
    <t xml:space="preserve">Asmundtorp</t>
  </si>
  <si>
    <t xml:space="preserve">12820801</t>
  </si>
  <si>
    <t xml:space="preserve">Härslöv</t>
  </si>
  <si>
    <t xml:space="preserve">12820802</t>
  </si>
  <si>
    <t xml:space="preserve">Glumslöv Norra</t>
  </si>
  <si>
    <t xml:space="preserve">12820803</t>
  </si>
  <si>
    <t xml:space="preserve">Glumslöv Södra</t>
  </si>
  <si>
    <t xml:space="preserve">Källa: SCB, valanalysverktyg riksdagsvalet 2026 (ArcGIS-tjänsten Valdistrikt_2026_RD), exporterad 2026-10-16. Andelarna avser röstberättigade i riksdagsvalet; inkomst = 2024 års inkomster, rikets kvintiler.</t>
  </si>
  <si>
    <t xml:space="preserve">Korrelation (r) mellan bakgrund och partiets andel i kommunvalet (KF), över 26 distrikt</t>
  </si>
  <si>
    <t xml:space="preserve">Bakgrund</t>
  </si>
  <si>
    <t xml:space="preserve">S</t>
  </si>
  <si>
    <t xml:space="preserve">SD</t>
  </si>
  <si>
    <t xml:space="preserve">M</t>
  </si>
  <si>
    <t xml:space="preserve">L</t>
  </si>
  <si>
    <t xml:space="preserve">V</t>
  </si>
  <si>
    <t xml:space="preserve">KD</t>
  </si>
  <si>
    <t xml:space="preserve">C</t>
  </si>
  <si>
    <t xml:space="preserve">MP</t>
  </si>
  <si>
    <t xml:space="preserve">Utrikes födda</t>
  </si>
  <si>
    <t xml:space="preserve">Låg inkomst</t>
  </si>
  <si>
    <t xml:space="preserve">Hög inkomst</t>
  </si>
  <si>
    <t xml:space="preserve">Eftergymnasial</t>
  </si>
  <si>
    <t xml:space="preserve">18–29</t>
  </si>
  <si>
    <t xml:space="preserve">65+</t>
  </si>
  <si>
    <t xml:space="preserve">År</t>
  </si>
  <si>
    <t xml:space="preserve">Val</t>
  </si>
  <si>
    <t xml:space="preserve">S röster</t>
  </si>
  <si>
    <t xml:space="preserve">M röster</t>
  </si>
  <si>
    <t xml:space="preserve">SD röster</t>
  </si>
  <si>
    <t xml:space="preserve">L röster</t>
  </si>
  <si>
    <t xml:space="preserve">V röster</t>
  </si>
  <si>
    <t xml:space="preserve">C röster</t>
  </si>
  <si>
    <t xml:space="preserve">KD röster</t>
  </si>
  <si>
    <t xml:space="preserve">MP röster</t>
  </si>
  <si>
    <t xml:space="preserve">Vi röster</t>
  </si>
  <si>
    <t xml:space="preserve">Övr röster</t>
  </si>
  <si>
    <t xml:space="preserve">Giltiga</t>
  </si>
  <si>
    <t xml:space="preserve">S %</t>
  </si>
  <si>
    <t xml:space="preserve">M %</t>
  </si>
  <si>
    <t xml:space="preserve">SD %</t>
  </si>
  <si>
    <t xml:space="preserve">L %</t>
  </si>
  <si>
    <t xml:space="preserve">V %</t>
  </si>
  <si>
    <t xml:space="preserve">C %</t>
  </si>
  <si>
    <t xml:space="preserve">KD %</t>
  </si>
  <si>
    <t xml:space="preserve">MP %</t>
  </si>
  <si>
    <t xml:space="preserve">Vi %</t>
  </si>
  <si>
    <t xml:space="preserve">Övr %</t>
  </si>
  <si>
    <t xml:space="preserve">Röstande</t>
  </si>
  <si>
    <t xml:space="preserve">Valdeltagande %</t>
  </si>
  <si>
    <t xml:space="preserve">Kommun</t>
  </si>
  <si>
    <t xml:space="preserve">Region/landsting</t>
  </si>
  <si>
    <t xml:space="preserve">Riksdag</t>
  </si>
  <si>
    <t xml:space="preserve">Källa: Valmyndigheten (historik.val.se, resultat.val.se), slutligt resultat per valdistrikt. FP redovisas som L. 2006 innehåller en beräknad rad för röster utanför distrikten. 2026: röstberättigade och valdeltagande enligt Valmyndighetens kommuntotal (röstande per distrikt saknas i underlaget).</t>
  </si>
  <si>
    <t xml:space="preserve">Valdeltagande 2026 (%)</t>
  </si>
  <si>
    <t xml:space="preserve">Valdeltagande 2022 (%)</t>
  </si>
  <si>
    <t xml:space="preserve">Vi</t>
  </si>
  <si>
    <t xml:space="preserve">Giltiga röster</t>
  </si>
  <si>
    <t xml:space="preserve">128200</t>
  </si>
  <si>
    <t xml:space="preserve">Uppsamlingsdistrikt 00</t>
  </si>
  <si>
    <t xml:space="preserve">Landskrona totalt</t>
  </si>
  <si>
    <t xml:space="preserve">val</t>
  </si>
  <si>
    <t xml:space="preserve">distriktskod</t>
  </si>
  <si>
    <t xml:space="preserve">distrikt</t>
  </si>
  <si>
    <t xml:space="preserve">parti</t>
  </si>
  <si>
    <t xml:space="preserve">roster_2026</t>
  </si>
  <si>
    <t xml:space="preserve">andel_2026</t>
  </si>
  <si>
    <t xml:space="preserve">roster_2022</t>
  </si>
  <si>
    <t xml:space="preserve">andel_2022</t>
  </si>
  <si>
    <t xml:space="preserve">forandring_pe</t>
  </si>
  <si>
    <t xml:space="preserve">Region</t>
  </si>
  <si>
    <t xml:space="preserve">Parti</t>
  </si>
  <si>
    <t xml:space="preserve">Andel 2026 (%)</t>
  </si>
  <si>
    <t xml:space="preserve">Andel 2022 (%)</t>
  </si>
  <si>
    <t xml:space="preserve">Förändring (pe)</t>
  </si>
  <si>
    <t xml:space="preserve">Mandat 2026</t>
  </si>
  <si>
    <t xml:space="preserve">Mandat 2022</t>
  </si>
  <si>
    <t xml:space="preserve">Kommunfullmäktige</t>
  </si>
  <si>
    <t xml:space="preserve">PNy</t>
  </si>
  <si>
    <t xml:space="preserve">Regionfullmäktige (Landskronas röster)</t>
  </si>
  <si>
    <t xml:space="preserve">Riksdag (Landskronas röster)</t>
  </si>
  <si>
    <t xml:space="preserve">Källa: Valmyndigheten, resultat.val.se (KF_12_1282, RF_12_1203_1282, RD_12_1282), slutligt resultat. Valdeltagande: KF 78,00 % (76,03), RF 77,55 % (75,58), RD 80,51 % (79,48). KF utökat från 51 till 61 mandat.</t>
  </si>
  <si>
    <t xml:space="preserve">Uppsamling</t>
  </si>
  <si>
    <t xml:space="preserve">Blanka</t>
  </si>
  <si>
    <t xml:space="preserve">0101</t>
  </si>
  <si>
    <t xml:space="preserve">Distrikt 0101 (2006 års indelning)</t>
  </si>
  <si>
    <t xml:space="preserve">0102</t>
  </si>
  <si>
    <t xml:space="preserve">Distrikt 0102 (2006 års indelning)</t>
  </si>
  <si>
    <t xml:space="preserve">0103</t>
  </si>
  <si>
    <t xml:space="preserve">Distrikt 0103 (2006 års indelning)</t>
  </si>
  <si>
    <t xml:space="preserve">0104</t>
  </si>
  <si>
    <t xml:space="preserve">Distrikt 0104 (2006 års indelning)</t>
  </si>
  <si>
    <t xml:space="preserve">0105</t>
  </si>
  <si>
    <t xml:space="preserve">Distrikt 0105 (2006 års indelning)</t>
  </si>
  <si>
    <t xml:space="preserve">0106</t>
  </si>
  <si>
    <t xml:space="preserve">Distrikt 0106 (2006 års indelning)</t>
  </si>
  <si>
    <t xml:space="preserve">0107</t>
  </si>
  <si>
    <t xml:space="preserve">Distrikt 0107 (2006 års indelning)</t>
  </si>
  <si>
    <t xml:space="preserve">0108</t>
  </si>
  <si>
    <t xml:space="preserve">Distrikt 0108 (2006 års indelning)</t>
  </si>
  <si>
    <t xml:space="preserve">0109</t>
  </si>
  <si>
    <t xml:space="preserve">Distrikt 0109 (2006 års indelning)</t>
  </si>
  <si>
    <t xml:space="preserve">0110</t>
  </si>
  <si>
    <t xml:space="preserve">Distrikt 0110 (2006 års indelning)</t>
  </si>
  <si>
    <t xml:space="preserve">0111</t>
  </si>
  <si>
    <t xml:space="preserve">Distrikt 0111 (2006 års indelning)</t>
  </si>
  <si>
    <t xml:space="preserve">0112</t>
  </si>
  <si>
    <t xml:space="preserve">Distrikt 0112 (2006 års indelning)</t>
  </si>
  <si>
    <t xml:space="preserve">0113</t>
  </si>
  <si>
    <t xml:space="preserve">Distrikt 0113 (2006 års indelning)</t>
  </si>
  <si>
    <t xml:space="preserve">0114</t>
  </si>
  <si>
    <t xml:space="preserve">Distrikt 0114 (2006 års indelning)</t>
  </si>
  <si>
    <t xml:space="preserve">0115</t>
  </si>
  <si>
    <t xml:space="preserve">Distrikt 0115 (2006 års indelning)</t>
  </si>
  <si>
    <t xml:space="preserve">0116</t>
  </si>
  <si>
    <t xml:space="preserve">Distrikt 0116 (2006 års indelning)</t>
  </si>
  <si>
    <t xml:space="preserve">0201</t>
  </si>
  <si>
    <t xml:space="preserve">Distrikt 0201 (2006 års indelning)</t>
  </si>
  <si>
    <t xml:space="preserve">0301</t>
  </si>
  <si>
    <t xml:space="preserve">Distrikt 0301 (2006 års indelning)</t>
  </si>
  <si>
    <t xml:space="preserve">0402</t>
  </si>
  <si>
    <t xml:space="preserve">Distrikt 0402 (2006 års indelning)</t>
  </si>
  <si>
    <t xml:space="preserve">0501</t>
  </si>
  <si>
    <t xml:space="preserve">Distrikt 0501 (2006 års indelning)</t>
  </si>
  <si>
    <t xml:space="preserve">0701</t>
  </si>
  <si>
    <t xml:space="preserve">Distrikt 0701 (2006 års indelning)</t>
  </si>
  <si>
    <t xml:space="preserve">0801</t>
  </si>
  <si>
    <t xml:space="preserve">Distrikt 0801 (2006 års indelning)</t>
  </si>
  <si>
    <t xml:space="preserve">UPPS</t>
  </si>
  <si>
    <t xml:space="preserve">Uppsamling/övrigt (beräknat)</t>
  </si>
  <si>
    <t xml:space="preserve">ja</t>
  </si>
  <si>
    <t xml:space="preserve">Västervång</t>
  </si>
  <si>
    <t xml:space="preserve">Annelöv-Saxtorp</t>
  </si>
  <si>
    <t xml:space="preserve">Häljarp</t>
  </si>
  <si>
    <t xml:space="preserve">Glumslöv</t>
  </si>
  <si>
    <t xml:space="preserve">VK01</t>
  </si>
  <si>
    <t xml:space="preserve">Onsdagsdistrikt</t>
  </si>
  <si>
    <t xml:space="preserve">VK02</t>
  </si>
  <si>
    <t xml:space="preserve">01</t>
  </si>
  <si>
    <t xml:space="preserve">02</t>
  </si>
  <si>
    <t xml:space="preserve">1</t>
  </si>
  <si>
    <t xml:space="preserve">2</t>
  </si>
  <si>
    <t xml:space="preserve">0401</t>
  </si>
  <si>
    <t xml:space="preserve">0</t>
  </si>
  <si>
    <t xml:space="preserve">0117</t>
  </si>
  <si>
    <t xml:space="preserve">0118</t>
  </si>
  <si>
    <t xml:space="preserve">0802</t>
  </si>
  <si>
    <t xml:space="preserve">0803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</si>
</sst>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\+0.0;\-0.0;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4E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  <c r="B2" s="4"/>
    </row>
    <row r="3" customFormat="false" ht="15" hidden="false" customHeight="true" outlineLevel="0" collapsed="false">
      <c r="A3" s="3" t="s">
        <v>1</v>
      </c>
      <c r="B3" s="4"/>
    </row>
    <row r="4" customFormat="false" ht="15" hidden="false" customHeight="true" outlineLevel="0" collapsed="false">
      <c r="A4" s="3" t="s">
        <v>2</v>
      </c>
      <c r="B4" s="4" t="s">
        <v>3</v>
      </c>
    </row>
    <row r="5" customFormat="false" ht="15" hidden="false" customHeight="true" outlineLevel="0" collapsed="false">
      <c r="A5" s="3" t="s">
        <v>4</v>
      </c>
      <c r="B5" s="4" t="s">
        <v>5</v>
      </c>
    </row>
    <row r="6" customFormat="false" ht="15" hidden="false" customHeight="true" outlineLevel="0" collapsed="false">
      <c r="A6" s="3" t="s">
        <v>6</v>
      </c>
      <c r="B6" s="4" t="s">
        <v>7</v>
      </c>
    </row>
    <row r="7" customFormat="false" ht="15" hidden="false" customHeight="true" outlineLevel="0" collapsed="false">
      <c r="A7" s="3"/>
      <c r="B7" s="4"/>
    </row>
    <row r="8" customFormat="false" ht="15" hidden="false" customHeight="true" outlineLevel="0" collapsed="false">
      <c r="A8" s="3" t="s">
        <v>8</v>
      </c>
      <c r="B8" s="4" t="s">
        <v>9</v>
      </c>
    </row>
    <row r="9" customFormat="false" ht="15" hidden="false" customHeight="true" outlineLevel="0" collapsed="false">
      <c r="A9" s="3" t="s">
        <v>10</v>
      </c>
      <c r="B9" s="4" t="s">
        <v>11</v>
      </c>
    </row>
    <row r="10" customFormat="false" ht="1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 t="s">
        <v>14</v>
      </c>
      <c r="B11" s="4" t="s">
        <v>15</v>
      </c>
    </row>
    <row r="12" customFormat="false" ht="15" hidden="false" customHeight="true" outlineLevel="0" collapsed="false">
      <c r="A12" s="3" t="s">
        <v>16</v>
      </c>
      <c r="B12" s="4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1" t="s">
        <v>20</v>
      </c>
      <c r="B14" s="1" t="s">
        <v>21</v>
      </c>
    </row>
    <row r="15" customFormat="false" ht="15" hidden="false" customHeight="false" outlineLevel="0" collapsed="false">
      <c r="A15" s="1" t="s">
        <v>22</v>
      </c>
      <c r="B15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8"/>
    <col collapsed="false" customWidth="true" hidden="false" outlineLevel="0" max="20" min="3" style="1" width="13"/>
  </cols>
  <sheetData>
    <row r="1" customFormat="false" ht="15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</row>
    <row r="2" customFormat="false" ht="15" hidden="false" customHeight="true" outlineLevel="0" collapsed="false">
      <c r="A2" s="4" t="s">
        <v>44</v>
      </c>
      <c r="B2" s="4" t="s">
        <v>45</v>
      </c>
      <c r="C2" s="4" t="n">
        <v>1524</v>
      </c>
      <c r="D2" s="4" t="n">
        <v>76</v>
      </c>
      <c r="E2" s="4" t="n">
        <v>16.49</v>
      </c>
      <c r="F2" s="4" t="n">
        <v>19.43</v>
      </c>
      <c r="G2" s="4" t="n">
        <v>15.01</v>
      </c>
      <c r="H2" s="4" t="n">
        <v>19.05</v>
      </c>
      <c r="I2" s="4" t="n">
        <v>12.01</v>
      </c>
      <c r="J2" s="4" t="n">
        <v>42.17</v>
      </c>
      <c r="K2" s="4" t="n">
        <v>239</v>
      </c>
      <c r="L2" s="4" t="n">
        <v>1449</v>
      </c>
      <c r="M2" s="4" t="n">
        <v>268</v>
      </c>
      <c r="N2" s="4" t="n">
        <v>207</v>
      </c>
      <c r="O2" s="4" t="n">
        <v>1379</v>
      </c>
      <c r="P2" s="4" t="n">
        <v>273</v>
      </c>
      <c r="Q2" s="4" t="n">
        <v>1433</v>
      </c>
      <c r="R2" s="4" t="n">
        <v>174</v>
      </c>
      <c r="S2" s="4" t="n">
        <v>611</v>
      </c>
      <c r="T2" s="4" t="n">
        <v>1449</v>
      </c>
    </row>
    <row r="3" customFormat="false" ht="15" hidden="false" customHeight="true" outlineLevel="0" collapsed="false">
      <c r="A3" s="4" t="s">
        <v>46</v>
      </c>
      <c r="B3" s="4" t="s">
        <v>47</v>
      </c>
      <c r="C3" s="4" t="n">
        <v>1479</v>
      </c>
      <c r="D3" s="4" t="n">
        <v>76</v>
      </c>
      <c r="E3" s="4" t="n">
        <v>25.17</v>
      </c>
      <c r="F3" s="4" t="n">
        <v>26.28</v>
      </c>
      <c r="G3" s="4" t="n">
        <v>12.41</v>
      </c>
      <c r="H3" s="4" t="n">
        <v>17.39</v>
      </c>
      <c r="I3" s="4" t="n">
        <v>14.62</v>
      </c>
      <c r="J3" s="4" t="n">
        <v>35.17</v>
      </c>
      <c r="K3" s="4" t="n">
        <v>360</v>
      </c>
      <c r="L3" s="4" t="n">
        <v>1430</v>
      </c>
      <c r="M3" s="4" t="n">
        <v>360</v>
      </c>
      <c r="N3" s="4" t="n">
        <v>170</v>
      </c>
      <c r="O3" s="4" t="n">
        <v>1370</v>
      </c>
      <c r="P3" s="4" t="n">
        <v>245</v>
      </c>
      <c r="Q3" s="4" t="n">
        <v>1409</v>
      </c>
      <c r="R3" s="4" t="n">
        <v>209</v>
      </c>
      <c r="S3" s="4" t="n">
        <v>503</v>
      </c>
      <c r="T3" s="4" t="n">
        <v>1430</v>
      </c>
    </row>
    <row r="4" customFormat="false" ht="15" hidden="false" customHeight="true" outlineLevel="0" collapsed="false">
      <c r="A4" s="4" t="s">
        <v>48</v>
      </c>
      <c r="B4" s="4" t="s">
        <v>49</v>
      </c>
      <c r="C4" s="4" t="n">
        <v>1625</v>
      </c>
      <c r="D4" s="4" t="n">
        <v>68</v>
      </c>
      <c r="E4" s="4" t="n">
        <v>37.19</v>
      </c>
      <c r="F4" s="4" t="n">
        <v>33.88</v>
      </c>
      <c r="G4" s="4" t="n">
        <v>7.26</v>
      </c>
      <c r="H4" s="4" t="n">
        <v>12.66</v>
      </c>
      <c r="I4" s="4" t="n">
        <v>22.4</v>
      </c>
      <c r="J4" s="4" t="n">
        <v>25.69</v>
      </c>
      <c r="K4" s="4" t="n">
        <v>566</v>
      </c>
      <c r="L4" s="4" t="n">
        <v>1522</v>
      </c>
      <c r="M4" s="4" t="n">
        <v>476</v>
      </c>
      <c r="N4" s="4" t="n">
        <v>102</v>
      </c>
      <c r="O4" s="4" t="n">
        <v>1405</v>
      </c>
      <c r="P4" s="4" t="n">
        <v>190</v>
      </c>
      <c r="Q4" s="4" t="n">
        <v>1501</v>
      </c>
      <c r="R4" s="4" t="n">
        <v>341</v>
      </c>
      <c r="S4" s="4" t="n">
        <v>391</v>
      </c>
      <c r="T4" s="4" t="n">
        <v>1522</v>
      </c>
    </row>
    <row r="5" customFormat="false" ht="15" hidden="false" customHeight="true" outlineLevel="0" collapsed="false">
      <c r="A5" s="4" t="s">
        <v>50</v>
      </c>
      <c r="B5" s="4" t="s">
        <v>51</v>
      </c>
      <c r="C5" s="4" t="n">
        <v>1640</v>
      </c>
      <c r="D5" s="4" t="n">
        <v>70</v>
      </c>
      <c r="E5" s="4" t="n">
        <v>26.32</v>
      </c>
      <c r="F5" s="4" t="n">
        <v>27.66</v>
      </c>
      <c r="G5" s="4" t="n">
        <v>9.24</v>
      </c>
      <c r="H5" s="4" t="n">
        <v>15.94</v>
      </c>
      <c r="I5" s="4" t="n">
        <v>18.19</v>
      </c>
      <c r="J5" s="4" t="n">
        <v>28.53</v>
      </c>
      <c r="K5" s="4" t="n">
        <v>405</v>
      </c>
      <c r="L5" s="4" t="n">
        <v>1539</v>
      </c>
      <c r="M5" s="4" t="n">
        <v>401</v>
      </c>
      <c r="N5" s="4" t="n">
        <v>134</v>
      </c>
      <c r="O5" s="4" t="n">
        <v>1450</v>
      </c>
      <c r="P5" s="4" t="n">
        <v>243</v>
      </c>
      <c r="Q5" s="4" t="n">
        <v>1524</v>
      </c>
      <c r="R5" s="4" t="n">
        <v>280</v>
      </c>
      <c r="S5" s="4" t="n">
        <v>439</v>
      </c>
      <c r="T5" s="4" t="n">
        <v>1539</v>
      </c>
    </row>
    <row r="6" customFormat="false" ht="15" hidden="false" customHeight="true" outlineLevel="0" collapsed="false">
      <c r="A6" s="4" t="s">
        <v>52</v>
      </c>
      <c r="B6" s="4" t="s">
        <v>53</v>
      </c>
      <c r="C6" s="4" t="n">
        <v>1416</v>
      </c>
      <c r="D6" s="4" t="n">
        <v>65</v>
      </c>
      <c r="E6" s="4" t="n">
        <v>51.68</v>
      </c>
      <c r="F6" s="4" t="n">
        <v>41.14</v>
      </c>
      <c r="G6" s="4" t="n">
        <v>5.12</v>
      </c>
      <c r="H6" s="4" t="n">
        <v>11.06</v>
      </c>
      <c r="I6" s="4" t="n">
        <v>24.23</v>
      </c>
      <c r="J6" s="4" t="n">
        <v>21.62</v>
      </c>
      <c r="K6" s="4" t="n">
        <v>691</v>
      </c>
      <c r="L6" s="4" t="n">
        <v>1337</v>
      </c>
      <c r="M6" s="4" t="n">
        <v>490</v>
      </c>
      <c r="N6" s="4" t="n">
        <v>61</v>
      </c>
      <c r="O6" s="4" t="n">
        <v>1191</v>
      </c>
      <c r="P6" s="4" t="n">
        <v>145</v>
      </c>
      <c r="Q6" s="4" t="n">
        <v>1311</v>
      </c>
      <c r="R6" s="4" t="n">
        <v>324</v>
      </c>
      <c r="S6" s="4" t="n">
        <v>289</v>
      </c>
      <c r="T6" s="4" t="n">
        <v>1337</v>
      </c>
    </row>
    <row r="7" customFormat="false" ht="15" hidden="false" customHeight="true" outlineLevel="0" collapsed="false">
      <c r="A7" s="4" t="s">
        <v>54</v>
      </c>
      <c r="B7" s="4" t="s">
        <v>55</v>
      </c>
      <c r="C7" s="4" t="n">
        <v>1530</v>
      </c>
      <c r="D7" s="4" t="n">
        <v>66</v>
      </c>
      <c r="E7" s="4" t="n">
        <v>44.72</v>
      </c>
      <c r="F7" s="4" t="n">
        <v>33.94</v>
      </c>
      <c r="G7" s="4" t="n">
        <v>6.91</v>
      </c>
      <c r="H7" s="4" t="n">
        <v>11.77</v>
      </c>
      <c r="I7" s="4" t="n">
        <v>21.33</v>
      </c>
      <c r="J7" s="4" t="n">
        <v>19.12</v>
      </c>
      <c r="K7" s="4" t="n">
        <v>648</v>
      </c>
      <c r="L7" s="4" t="n">
        <v>1449</v>
      </c>
      <c r="M7" s="4" t="n">
        <v>447</v>
      </c>
      <c r="N7" s="4" t="n">
        <v>91</v>
      </c>
      <c r="O7" s="4" t="n">
        <v>1317</v>
      </c>
      <c r="P7" s="4" t="n">
        <v>166</v>
      </c>
      <c r="Q7" s="4" t="n">
        <v>1410</v>
      </c>
      <c r="R7" s="4" t="n">
        <v>309</v>
      </c>
      <c r="S7" s="4" t="n">
        <v>277</v>
      </c>
      <c r="T7" s="4" t="n">
        <v>1449</v>
      </c>
    </row>
    <row r="8" customFormat="false" ht="15" hidden="false" customHeight="true" outlineLevel="0" collapsed="false">
      <c r="A8" s="4" t="s">
        <v>56</v>
      </c>
      <c r="B8" s="4" t="s">
        <v>57</v>
      </c>
      <c r="C8" s="4" t="n">
        <v>1091</v>
      </c>
      <c r="D8" s="4" t="n">
        <v>78</v>
      </c>
      <c r="E8" s="4" t="n">
        <v>18.89</v>
      </c>
      <c r="F8" s="4" t="n">
        <v>19.47</v>
      </c>
      <c r="G8" s="4" t="n">
        <v>15.91</v>
      </c>
      <c r="H8" s="4" t="n">
        <v>21.14</v>
      </c>
      <c r="I8" s="4" t="n">
        <v>13.79</v>
      </c>
      <c r="J8" s="4" t="n">
        <v>31.35</v>
      </c>
      <c r="K8" s="4" t="n">
        <v>200</v>
      </c>
      <c r="L8" s="4" t="n">
        <v>1059</v>
      </c>
      <c r="M8" s="4" t="n">
        <v>197</v>
      </c>
      <c r="N8" s="4" t="n">
        <v>161</v>
      </c>
      <c r="O8" s="4" t="n">
        <v>1012</v>
      </c>
      <c r="P8" s="4" t="n">
        <v>222</v>
      </c>
      <c r="Q8" s="4" t="n">
        <v>1050</v>
      </c>
      <c r="R8" s="4" t="n">
        <v>146</v>
      </c>
      <c r="S8" s="4" t="n">
        <v>332</v>
      </c>
      <c r="T8" s="4" t="n">
        <v>1059</v>
      </c>
    </row>
    <row r="9" customFormat="false" ht="15" hidden="false" customHeight="true" outlineLevel="0" collapsed="false">
      <c r="A9" s="4" t="s">
        <v>58</v>
      </c>
      <c r="B9" s="4" t="s">
        <v>59</v>
      </c>
      <c r="C9" s="4" t="n">
        <v>1597</v>
      </c>
      <c r="D9" s="4" t="n">
        <v>69</v>
      </c>
      <c r="E9" s="4" t="n">
        <v>30.41</v>
      </c>
      <c r="F9" s="4" t="n">
        <v>29.87</v>
      </c>
      <c r="G9" s="4" t="n">
        <v>6.54</v>
      </c>
      <c r="H9" s="4" t="n">
        <v>13.35</v>
      </c>
      <c r="I9" s="4" t="n">
        <v>18.97</v>
      </c>
      <c r="J9" s="4" t="n">
        <v>33.03</v>
      </c>
      <c r="K9" s="4" t="n">
        <v>465</v>
      </c>
      <c r="L9" s="4" t="n">
        <v>1529</v>
      </c>
      <c r="M9" s="4" t="n">
        <v>434</v>
      </c>
      <c r="N9" s="4" t="n">
        <v>95</v>
      </c>
      <c r="O9" s="4" t="n">
        <v>1453</v>
      </c>
      <c r="P9" s="4" t="n">
        <v>201</v>
      </c>
      <c r="Q9" s="4" t="n">
        <v>1506</v>
      </c>
      <c r="R9" s="4" t="n">
        <v>290</v>
      </c>
      <c r="S9" s="4" t="n">
        <v>505</v>
      </c>
      <c r="T9" s="4" t="n">
        <v>1529</v>
      </c>
    </row>
    <row r="10" customFormat="false" ht="15" hidden="false" customHeight="true" outlineLevel="0" collapsed="false">
      <c r="A10" s="4" t="s">
        <v>60</v>
      </c>
      <c r="B10" s="4" t="s">
        <v>61</v>
      </c>
      <c r="C10" s="4" t="n">
        <v>1428</v>
      </c>
      <c r="D10" s="4" t="n">
        <v>78</v>
      </c>
      <c r="E10" s="4" t="n">
        <v>17.4</v>
      </c>
      <c r="F10" s="4" t="n">
        <v>23.16</v>
      </c>
      <c r="G10" s="4" t="n">
        <v>11.05</v>
      </c>
      <c r="H10" s="4" t="n">
        <v>14.73</v>
      </c>
      <c r="I10" s="4" t="n">
        <v>13.48</v>
      </c>
      <c r="J10" s="4" t="n">
        <v>31.38</v>
      </c>
      <c r="K10" s="4" t="n">
        <v>244</v>
      </c>
      <c r="L10" s="4" t="n">
        <v>1402</v>
      </c>
      <c r="M10" s="4" t="n">
        <v>308</v>
      </c>
      <c r="N10" s="4" t="n">
        <v>147</v>
      </c>
      <c r="O10" s="4" t="n">
        <v>1330</v>
      </c>
      <c r="P10" s="4" t="n">
        <v>205</v>
      </c>
      <c r="Q10" s="4" t="n">
        <v>1392</v>
      </c>
      <c r="R10" s="4" t="n">
        <v>189</v>
      </c>
      <c r="S10" s="4" t="n">
        <v>440</v>
      </c>
      <c r="T10" s="4" t="n">
        <v>1402</v>
      </c>
    </row>
    <row r="11" customFormat="false" ht="15" hidden="false" customHeight="true" outlineLevel="0" collapsed="false">
      <c r="A11" s="4" t="s">
        <v>62</v>
      </c>
      <c r="B11" s="4" t="s">
        <v>63</v>
      </c>
      <c r="C11" s="4" t="n">
        <v>1001</v>
      </c>
      <c r="D11" s="4" t="n">
        <v>78</v>
      </c>
      <c r="E11" s="4" t="n">
        <v>15.37</v>
      </c>
      <c r="F11" s="4" t="n">
        <v>25.21</v>
      </c>
      <c r="G11" s="4" t="n">
        <v>4.89</v>
      </c>
      <c r="H11" s="4" t="n">
        <v>9.31</v>
      </c>
      <c r="I11" s="4" t="n">
        <v>16.7</v>
      </c>
      <c r="J11" s="4" t="n">
        <v>31.05</v>
      </c>
      <c r="K11" s="4" t="n">
        <v>150</v>
      </c>
      <c r="L11" s="4" t="n">
        <v>976</v>
      </c>
      <c r="M11" s="4" t="n">
        <v>237</v>
      </c>
      <c r="N11" s="4" t="n">
        <v>46</v>
      </c>
      <c r="O11" s="4" t="n">
        <v>940</v>
      </c>
      <c r="P11" s="4" t="n">
        <v>90</v>
      </c>
      <c r="Q11" s="4" t="n">
        <v>967</v>
      </c>
      <c r="R11" s="4" t="n">
        <v>163</v>
      </c>
      <c r="S11" s="4" t="n">
        <v>303</v>
      </c>
      <c r="T11" s="4" t="n">
        <v>976</v>
      </c>
    </row>
    <row r="12" customFormat="false" ht="15" hidden="false" customHeight="true" outlineLevel="0" collapsed="false">
      <c r="A12" s="4" t="s">
        <v>64</v>
      </c>
      <c r="B12" s="4" t="s">
        <v>65</v>
      </c>
      <c r="C12" s="4" t="n">
        <v>1148</v>
      </c>
      <c r="D12" s="4" t="n">
        <v>78</v>
      </c>
      <c r="E12" s="4" t="n">
        <v>38.52</v>
      </c>
      <c r="F12" s="4" t="n">
        <v>18.35</v>
      </c>
      <c r="G12" s="4" t="n">
        <v>11.93</v>
      </c>
      <c r="H12" s="4" t="n">
        <v>17.2</v>
      </c>
      <c r="I12" s="4" t="n">
        <v>13.7</v>
      </c>
      <c r="J12" s="4" t="n">
        <v>38.43</v>
      </c>
      <c r="K12" s="4" t="n">
        <v>433</v>
      </c>
      <c r="L12" s="4" t="n">
        <v>1124</v>
      </c>
      <c r="M12" s="4" t="n">
        <v>200</v>
      </c>
      <c r="N12" s="4" t="n">
        <v>130</v>
      </c>
      <c r="O12" s="4" t="n">
        <v>1090</v>
      </c>
      <c r="P12" s="4" t="n">
        <v>192</v>
      </c>
      <c r="Q12" s="4" t="n">
        <v>1116</v>
      </c>
      <c r="R12" s="4" t="n">
        <v>154</v>
      </c>
      <c r="S12" s="4" t="n">
        <v>432</v>
      </c>
      <c r="T12" s="4" t="n">
        <v>1124</v>
      </c>
    </row>
    <row r="13" customFormat="false" ht="15" hidden="false" customHeight="true" outlineLevel="0" collapsed="false">
      <c r="A13" s="4" t="s">
        <v>66</v>
      </c>
      <c r="B13" s="4" t="s">
        <v>67</v>
      </c>
      <c r="C13" s="4" t="n">
        <v>1568</v>
      </c>
      <c r="D13" s="4" t="n">
        <v>63</v>
      </c>
      <c r="E13" s="4" t="n">
        <v>56.81</v>
      </c>
      <c r="F13" s="4" t="n">
        <v>36.6</v>
      </c>
      <c r="G13" s="4" t="n">
        <v>3.16</v>
      </c>
      <c r="H13" s="4" t="n">
        <v>10.45</v>
      </c>
      <c r="I13" s="4" t="n">
        <v>23.97</v>
      </c>
      <c r="J13" s="4" t="n">
        <v>15.96</v>
      </c>
      <c r="K13" s="4" t="n">
        <v>801</v>
      </c>
      <c r="L13" s="4" t="n">
        <v>1410</v>
      </c>
      <c r="M13" s="4" t="n">
        <v>463</v>
      </c>
      <c r="N13" s="4" t="n">
        <v>40</v>
      </c>
      <c r="O13" s="4" t="n">
        <v>1265</v>
      </c>
      <c r="P13" s="4" t="n">
        <v>145</v>
      </c>
      <c r="Q13" s="4" t="n">
        <v>1387</v>
      </c>
      <c r="R13" s="4" t="n">
        <v>338</v>
      </c>
      <c r="S13" s="4" t="n">
        <v>225</v>
      </c>
      <c r="T13" s="4" t="n">
        <v>1410</v>
      </c>
    </row>
    <row r="14" customFormat="false" ht="15" hidden="false" customHeight="true" outlineLevel="0" collapsed="false">
      <c r="A14" s="4" t="s">
        <v>68</v>
      </c>
      <c r="B14" s="4" t="s">
        <v>69</v>
      </c>
      <c r="C14" s="4" t="n">
        <v>1487</v>
      </c>
      <c r="D14" s="4" t="n">
        <v>71</v>
      </c>
      <c r="E14" s="4" t="n">
        <v>42.11</v>
      </c>
      <c r="F14" s="4" t="n">
        <v>28.91</v>
      </c>
      <c r="G14" s="4" t="n">
        <v>10.39</v>
      </c>
      <c r="H14" s="4" t="n">
        <v>14.51</v>
      </c>
      <c r="I14" s="4" t="n">
        <v>18.03</v>
      </c>
      <c r="J14" s="4" t="n">
        <v>24.15</v>
      </c>
      <c r="K14" s="4" t="n">
        <v>598</v>
      </c>
      <c r="L14" s="4" t="n">
        <v>1420</v>
      </c>
      <c r="M14" s="4" t="n">
        <v>381</v>
      </c>
      <c r="N14" s="4" t="n">
        <v>137</v>
      </c>
      <c r="O14" s="4" t="n">
        <v>1318</v>
      </c>
      <c r="P14" s="4" t="n">
        <v>203</v>
      </c>
      <c r="Q14" s="4" t="n">
        <v>1399</v>
      </c>
      <c r="R14" s="4" t="n">
        <v>256</v>
      </c>
      <c r="S14" s="4" t="n">
        <v>343</v>
      </c>
      <c r="T14" s="4" t="n">
        <v>1420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4" t="n">
        <v>1448</v>
      </c>
      <c r="D15" s="4" t="n">
        <v>86</v>
      </c>
      <c r="E15" s="4" t="n">
        <v>19.06</v>
      </c>
      <c r="F15" s="4" t="n">
        <v>18.35</v>
      </c>
      <c r="G15" s="4" t="n">
        <v>9.57</v>
      </c>
      <c r="H15" s="4" t="n">
        <v>14.34</v>
      </c>
      <c r="I15" s="4" t="n">
        <v>11.87</v>
      </c>
      <c r="J15" s="4" t="n">
        <v>46.86</v>
      </c>
      <c r="K15" s="4" t="n">
        <v>273</v>
      </c>
      <c r="L15" s="4" t="n">
        <v>1432</v>
      </c>
      <c r="M15" s="4" t="n">
        <v>255</v>
      </c>
      <c r="N15" s="4" t="n">
        <v>133</v>
      </c>
      <c r="O15" s="4" t="n">
        <v>1390</v>
      </c>
      <c r="P15" s="4" t="n">
        <v>204</v>
      </c>
      <c r="Q15" s="4" t="n">
        <v>1423</v>
      </c>
      <c r="R15" s="4" t="n">
        <v>170</v>
      </c>
      <c r="S15" s="4" t="n">
        <v>671</v>
      </c>
      <c r="T15" s="4" t="n">
        <v>1432</v>
      </c>
    </row>
    <row r="16" customFormat="false" ht="15" hidden="false" customHeight="true" outlineLevel="0" collapsed="false">
      <c r="A16" s="4" t="s">
        <v>72</v>
      </c>
      <c r="B16" s="4" t="s">
        <v>73</v>
      </c>
      <c r="C16" s="4" t="n">
        <v>1558</v>
      </c>
      <c r="D16" s="4" t="n">
        <v>89</v>
      </c>
      <c r="E16" s="4" t="n">
        <v>13.46</v>
      </c>
      <c r="F16" s="4" t="n">
        <v>12.43</v>
      </c>
      <c r="G16" s="4" t="n">
        <v>18.14</v>
      </c>
      <c r="H16" s="4" t="n">
        <v>22.3</v>
      </c>
      <c r="I16" s="4" t="n">
        <v>10.98</v>
      </c>
      <c r="J16" s="4" t="n">
        <v>41.07</v>
      </c>
      <c r="K16" s="4" t="n">
        <v>207</v>
      </c>
      <c r="L16" s="4" t="n">
        <v>1538</v>
      </c>
      <c r="M16" s="4" t="n">
        <v>187</v>
      </c>
      <c r="N16" s="4" t="n">
        <v>273</v>
      </c>
      <c r="O16" s="4" t="n">
        <v>1505</v>
      </c>
      <c r="P16" s="4" t="n">
        <v>340</v>
      </c>
      <c r="Q16" s="4" t="n">
        <v>1525</v>
      </c>
      <c r="R16" s="4" t="n">
        <v>169</v>
      </c>
      <c r="S16" s="4" t="n">
        <v>632</v>
      </c>
      <c r="T16" s="4" t="n">
        <v>1539</v>
      </c>
    </row>
    <row r="17" customFormat="false" ht="15" hidden="false" customHeight="true" outlineLevel="0" collapsed="false">
      <c r="A17" s="4" t="s">
        <v>74</v>
      </c>
      <c r="B17" s="4" t="s">
        <v>75</v>
      </c>
      <c r="C17" s="4" t="n">
        <v>1707</v>
      </c>
      <c r="D17" s="4" t="n">
        <v>88</v>
      </c>
      <c r="E17" s="4" t="n">
        <v>5.78</v>
      </c>
      <c r="F17" s="4" t="n">
        <v>14.13</v>
      </c>
      <c r="G17" s="4" t="n">
        <v>32.13</v>
      </c>
      <c r="H17" s="4" t="n">
        <v>30.32</v>
      </c>
      <c r="I17" s="4" t="n">
        <v>9.06</v>
      </c>
      <c r="J17" s="4" t="n">
        <v>37.96</v>
      </c>
      <c r="K17" s="4" t="n">
        <v>95</v>
      </c>
      <c r="L17" s="4" t="n">
        <v>1644</v>
      </c>
      <c r="M17" s="4" t="n">
        <v>227</v>
      </c>
      <c r="N17" s="4" t="n">
        <v>516</v>
      </c>
      <c r="O17" s="4" t="n">
        <v>1606</v>
      </c>
      <c r="P17" s="4" t="n">
        <v>497</v>
      </c>
      <c r="Q17" s="4" t="n">
        <v>1639</v>
      </c>
      <c r="R17" s="4" t="n">
        <v>149</v>
      </c>
      <c r="S17" s="4" t="n">
        <v>624</v>
      </c>
      <c r="T17" s="4" t="n">
        <v>1644</v>
      </c>
    </row>
    <row r="18" customFormat="false" ht="15" hidden="false" customHeight="true" outlineLevel="0" collapsed="false">
      <c r="A18" s="4" t="s">
        <v>76</v>
      </c>
      <c r="B18" s="4" t="s">
        <v>77</v>
      </c>
      <c r="C18" s="4" t="n">
        <v>1025</v>
      </c>
      <c r="D18" s="4" t="n">
        <v>93</v>
      </c>
      <c r="E18" s="4" t="n">
        <v>12.63</v>
      </c>
      <c r="F18" s="4" t="n">
        <v>11.75</v>
      </c>
      <c r="G18" s="4" t="n">
        <v>36.45</v>
      </c>
      <c r="H18" s="4" t="n">
        <v>32.02</v>
      </c>
      <c r="I18" s="4" t="n">
        <v>7.93</v>
      </c>
      <c r="J18" s="4" t="n">
        <v>33.79</v>
      </c>
      <c r="K18" s="4" t="n">
        <v>129</v>
      </c>
      <c r="L18" s="4" t="n">
        <v>1021</v>
      </c>
      <c r="M18" s="4" t="n">
        <v>117</v>
      </c>
      <c r="N18" s="4" t="n">
        <v>363</v>
      </c>
      <c r="O18" s="4" t="n">
        <v>996</v>
      </c>
      <c r="P18" s="4" t="n">
        <v>324</v>
      </c>
      <c r="Q18" s="4" t="n">
        <v>1012</v>
      </c>
      <c r="R18" s="4" t="n">
        <v>81</v>
      </c>
      <c r="S18" s="4" t="n">
        <v>345</v>
      </c>
      <c r="T18" s="4" t="n">
        <v>1021</v>
      </c>
    </row>
    <row r="19" customFormat="false" ht="15" hidden="false" customHeight="true" outlineLevel="0" collapsed="false">
      <c r="A19" s="4" t="s">
        <v>78</v>
      </c>
      <c r="B19" s="4" t="s">
        <v>79</v>
      </c>
      <c r="C19" s="4" t="n">
        <v>1492</v>
      </c>
      <c r="D19" s="4" t="n">
        <v>62</v>
      </c>
      <c r="E19" s="4" t="n">
        <v>49.53</v>
      </c>
      <c r="F19" s="4" t="n">
        <v>33.86</v>
      </c>
      <c r="G19" s="4" t="n">
        <v>6.6</v>
      </c>
      <c r="H19" s="4" t="n">
        <v>12.37</v>
      </c>
      <c r="I19" s="4" t="n">
        <v>21.73</v>
      </c>
      <c r="J19" s="4" t="n">
        <v>21.37</v>
      </c>
      <c r="K19" s="4" t="n">
        <v>688</v>
      </c>
      <c r="L19" s="4" t="n">
        <v>1389</v>
      </c>
      <c r="M19" s="4" t="n">
        <v>426</v>
      </c>
      <c r="N19" s="4" t="n">
        <v>83</v>
      </c>
      <c r="O19" s="4" t="n">
        <v>1258</v>
      </c>
      <c r="P19" s="4" t="n">
        <v>169</v>
      </c>
      <c r="Q19" s="4" t="n">
        <v>1366</v>
      </c>
      <c r="R19" s="4" t="n">
        <v>302</v>
      </c>
      <c r="S19" s="4" t="n">
        <v>297</v>
      </c>
      <c r="T19" s="4" t="n">
        <v>1390</v>
      </c>
    </row>
    <row r="20" customFormat="false" ht="15" hidden="false" customHeight="true" outlineLevel="0" collapsed="false">
      <c r="A20" s="4" t="s">
        <v>80</v>
      </c>
      <c r="B20" s="4" t="s">
        <v>81</v>
      </c>
      <c r="C20" s="4" t="n">
        <v>315</v>
      </c>
      <c r="D20" s="4" t="n">
        <v>89</v>
      </c>
      <c r="E20" s="4" t="n">
        <v>4.59</v>
      </c>
      <c r="F20" s="4" t="n">
        <v>21.62</v>
      </c>
      <c r="G20" s="4" t="n">
        <v>23.65</v>
      </c>
      <c r="H20" s="4" t="n">
        <v>30.69</v>
      </c>
      <c r="I20" s="4" t="n">
        <v>3.61</v>
      </c>
      <c r="J20" s="4" t="n">
        <v>58.36</v>
      </c>
      <c r="K20" s="4" t="n">
        <v>14</v>
      </c>
      <c r="L20" s="4" t="n">
        <v>305</v>
      </c>
      <c r="M20" s="4" t="n">
        <v>64</v>
      </c>
      <c r="N20" s="4" t="n">
        <v>70</v>
      </c>
      <c r="O20" s="4" t="n">
        <v>296</v>
      </c>
      <c r="P20" s="4" t="n">
        <v>93</v>
      </c>
      <c r="Q20" s="4" t="n">
        <v>303</v>
      </c>
      <c r="R20" s="4" t="n">
        <v>11</v>
      </c>
      <c r="S20" s="4" t="n">
        <v>178</v>
      </c>
      <c r="T20" s="4" t="n">
        <v>305</v>
      </c>
    </row>
    <row r="21" customFormat="false" ht="15" hidden="false" customHeight="true" outlineLevel="0" collapsed="false">
      <c r="A21" s="4" t="s">
        <v>82</v>
      </c>
      <c r="B21" s="4" t="s">
        <v>83</v>
      </c>
      <c r="C21" s="4" t="n">
        <v>1295</v>
      </c>
      <c r="D21" s="4" t="n">
        <v>84</v>
      </c>
      <c r="E21" s="4" t="n">
        <v>9</v>
      </c>
      <c r="F21" s="4" t="n">
        <v>16.26</v>
      </c>
      <c r="G21" s="4" t="n">
        <v>26.91</v>
      </c>
      <c r="H21" s="4" t="n">
        <v>22.3</v>
      </c>
      <c r="I21" s="4" t="n">
        <v>10.8</v>
      </c>
      <c r="J21" s="4" t="n">
        <v>24.18</v>
      </c>
      <c r="K21" s="4" t="n">
        <v>115</v>
      </c>
      <c r="L21" s="4" t="n">
        <v>1278</v>
      </c>
      <c r="M21" s="4" t="n">
        <v>200</v>
      </c>
      <c r="N21" s="4" t="n">
        <v>331</v>
      </c>
      <c r="O21" s="4" t="n">
        <v>1230</v>
      </c>
      <c r="P21" s="4" t="n">
        <v>283</v>
      </c>
      <c r="Q21" s="4" t="n">
        <v>1269</v>
      </c>
      <c r="R21" s="4" t="n">
        <v>138</v>
      </c>
      <c r="S21" s="4" t="n">
        <v>309</v>
      </c>
      <c r="T21" s="4" t="n">
        <v>1278</v>
      </c>
    </row>
    <row r="22" customFormat="false" ht="15" hidden="false" customHeight="true" outlineLevel="0" collapsed="false">
      <c r="A22" s="4" t="s">
        <v>84</v>
      </c>
      <c r="B22" s="4" t="s">
        <v>85</v>
      </c>
      <c r="C22" s="4" t="n">
        <v>1709</v>
      </c>
      <c r="D22" s="4" t="n">
        <v>84</v>
      </c>
      <c r="E22" s="4" t="n">
        <v>15.56</v>
      </c>
      <c r="F22" s="4" t="n">
        <v>13.98</v>
      </c>
      <c r="G22" s="4" t="n">
        <v>26.53</v>
      </c>
      <c r="H22" s="4" t="n">
        <v>23.78</v>
      </c>
      <c r="I22" s="4" t="n">
        <v>15.5</v>
      </c>
      <c r="J22" s="4" t="n">
        <v>20.45</v>
      </c>
      <c r="K22" s="4" t="n">
        <v>261</v>
      </c>
      <c r="L22" s="4" t="n">
        <v>1677</v>
      </c>
      <c r="M22" s="4" t="n">
        <v>224</v>
      </c>
      <c r="N22" s="4" t="n">
        <v>425</v>
      </c>
      <c r="O22" s="4" t="n">
        <v>1602</v>
      </c>
      <c r="P22" s="4" t="n">
        <v>396</v>
      </c>
      <c r="Q22" s="4" t="n">
        <v>1665</v>
      </c>
      <c r="R22" s="4" t="n">
        <v>260</v>
      </c>
      <c r="S22" s="4" t="n">
        <v>343</v>
      </c>
      <c r="T22" s="4" t="n">
        <v>1677</v>
      </c>
    </row>
    <row r="23" customFormat="false" ht="15" hidden="false" customHeight="true" outlineLevel="0" collapsed="false">
      <c r="A23" s="4" t="s">
        <v>86</v>
      </c>
      <c r="B23" s="4" t="s">
        <v>87</v>
      </c>
      <c r="C23" s="4" t="n">
        <v>1619</v>
      </c>
      <c r="D23" s="4" t="n">
        <v>87</v>
      </c>
      <c r="E23" s="4" t="n">
        <v>13.01</v>
      </c>
      <c r="F23" s="4" t="n">
        <v>16.34</v>
      </c>
      <c r="G23" s="4" t="n">
        <v>23.79</v>
      </c>
      <c r="H23" s="4" t="n">
        <v>21.65</v>
      </c>
      <c r="I23" s="4" t="n">
        <v>13.13</v>
      </c>
      <c r="J23" s="4" t="n">
        <v>23.17</v>
      </c>
      <c r="K23" s="4" t="n">
        <v>206</v>
      </c>
      <c r="L23" s="4" t="n">
        <v>1584</v>
      </c>
      <c r="M23" s="4" t="n">
        <v>250</v>
      </c>
      <c r="N23" s="4" t="n">
        <v>364</v>
      </c>
      <c r="O23" s="4" t="n">
        <v>1530</v>
      </c>
      <c r="P23" s="4" t="n">
        <v>341</v>
      </c>
      <c r="Q23" s="4" t="n">
        <v>1575</v>
      </c>
      <c r="R23" s="4" t="n">
        <v>208</v>
      </c>
      <c r="S23" s="4" t="n">
        <v>367</v>
      </c>
      <c r="T23" s="4" t="n">
        <v>1584</v>
      </c>
    </row>
    <row r="24" customFormat="false" ht="15" hidden="false" customHeight="true" outlineLevel="0" collapsed="false">
      <c r="A24" s="4" t="s">
        <v>88</v>
      </c>
      <c r="B24" s="4" t="s">
        <v>89</v>
      </c>
      <c r="C24" s="4" t="n">
        <v>1621</v>
      </c>
      <c r="D24" s="4" t="n">
        <v>87</v>
      </c>
      <c r="E24" s="4" t="n">
        <v>13.05</v>
      </c>
      <c r="F24" s="4" t="n">
        <v>15.29</v>
      </c>
      <c r="G24" s="4" t="n">
        <v>17.63</v>
      </c>
      <c r="H24" s="4" t="n">
        <v>17.84</v>
      </c>
      <c r="I24" s="4" t="n">
        <v>12.49</v>
      </c>
      <c r="J24" s="4" t="n">
        <v>23.56</v>
      </c>
      <c r="K24" s="4" t="n">
        <v>210</v>
      </c>
      <c r="L24" s="4" t="n">
        <v>1609</v>
      </c>
      <c r="M24" s="4" t="n">
        <v>236</v>
      </c>
      <c r="N24" s="4" t="n">
        <v>272</v>
      </c>
      <c r="O24" s="4" t="n">
        <v>1543</v>
      </c>
      <c r="P24" s="4" t="n">
        <v>286</v>
      </c>
      <c r="Q24" s="4" t="n">
        <v>1603</v>
      </c>
      <c r="R24" s="4" t="n">
        <v>201</v>
      </c>
      <c r="S24" s="4" t="n">
        <v>379</v>
      </c>
      <c r="T24" s="4" t="n">
        <v>1609</v>
      </c>
    </row>
    <row r="25" customFormat="false" ht="15" hidden="false" customHeight="true" outlineLevel="0" collapsed="false">
      <c r="A25" s="4" t="s">
        <v>90</v>
      </c>
      <c r="B25" s="4" t="s">
        <v>91</v>
      </c>
      <c r="C25" s="4" t="n">
        <v>943</v>
      </c>
      <c r="D25" s="4" t="n">
        <v>86</v>
      </c>
      <c r="E25" s="4" t="n">
        <v>20.3</v>
      </c>
      <c r="F25" s="4" t="n">
        <v>18.81</v>
      </c>
      <c r="G25" s="4" t="n">
        <v>20.87</v>
      </c>
      <c r="H25" s="4" t="n">
        <v>19.37</v>
      </c>
      <c r="I25" s="4" t="n">
        <v>11.62</v>
      </c>
      <c r="J25" s="4" t="n">
        <v>28.01</v>
      </c>
      <c r="K25" s="4" t="n">
        <v>187</v>
      </c>
      <c r="L25" s="4" t="n">
        <v>921</v>
      </c>
      <c r="M25" s="4" t="n">
        <v>165</v>
      </c>
      <c r="N25" s="4" t="n">
        <v>183</v>
      </c>
      <c r="O25" s="4" t="n">
        <v>877</v>
      </c>
      <c r="P25" s="4" t="n">
        <v>177</v>
      </c>
      <c r="Q25" s="4" t="n">
        <v>914</v>
      </c>
      <c r="R25" s="4" t="n">
        <v>107</v>
      </c>
      <c r="S25" s="4" t="n">
        <v>258</v>
      </c>
      <c r="T25" s="4" t="n">
        <v>921</v>
      </c>
    </row>
    <row r="26" customFormat="false" ht="15" hidden="false" customHeight="true" outlineLevel="0" collapsed="false">
      <c r="A26" s="4" t="s">
        <v>92</v>
      </c>
      <c r="B26" s="4" t="s">
        <v>93</v>
      </c>
      <c r="C26" s="4" t="n">
        <v>1229</v>
      </c>
      <c r="D26" s="4" t="n">
        <v>87</v>
      </c>
      <c r="E26" s="4" t="n">
        <v>10.34</v>
      </c>
      <c r="F26" s="4" t="n">
        <v>15.98</v>
      </c>
      <c r="G26" s="4" t="n">
        <v>35.21</v>
      </c>
      <c r="H26" s="4" t="n">
        <v>34.12</v>
      </c>
      <c r="I26" s="4" t="n">
        <v>12.36</v>
      </c>
      <c r="J26" s="4" t="n">
        <v>29.77</v>
      </c>
      <c r="K26" s="4" t="n">
        <v>123</v>
      </c>
      <c r="L26" s="4" t="n">
        <v>1189</v>
      </c>
      <c r="M26" s="4" t="n">
        <v>182</v>
      </c>
      <c r="N26" s="4" t="n">
        <v>401</v>
      </c>
      <c r="O26" s="4" t="n">
        <v>1139</v>
      </c>
      <c r="P26" s="4" t="n">
        <v>404</v>
      </c>
      <c r="Q26" s="4" t="n">
        <v>1184</v>
      </c>
      <c r="R26" s="4" t="n">
        <v>147</v>
      </c>
      <c r="S26" s="4" t="n">
        <v>354</v>
      </c>
      <c r="T26" s="4" t="n">
        <v>1189</v>
      </c>
    </row>
    <row r="27" customFormat="false" ht="15" hidden="false" customHeight="true" outlineLevel="0" collapsed="false">
      <c r="A27" s="4" t="s">
        <v>94</v>
      </c>
      <c r="B27" s="4" t="s">
        <v>95</v>
      </c>
      <c r="C27" s="4" t="n">
        <v>1012</v>
      </c>
      <c r="D27" s="4" t="n">
        <v>87</v>
      </c>
      <c r="E27" s="4" t="n">
        <v>10.26</v>
      </c>
      <c r="F27" s="4" t="n">
        <v>14.16</v>
      </c>
      <c r="G27" s="4" t="n">
        <v>32.37</v>
      </c>
      <c r="H27" s="4" t="n">
        <v>36.21</v>
      </c>
      <c r="I27" s="4" t="n">
        <v>9.44</v>
      </c>
      <c r="J27" s="4" t="n">
        <v>31.18</v>
      </c>
      <c r="K27" s="4" t="n">
        <v>100</v>
      </c>
      <c r="L27" s="4" t="n">
        <v>975</v>
      </c>
      <c r="M27" s="4" t="n">
        <v>133</v>
      </c>
      <c r="N27" s="4" t="n">
        <v>304</v>
      </c>
      <c r="O27" s="4" t="n">
        <v>939</v>
      </c>
      <c r="P27" s="4" t="n">
        <v>352</v>
      </c>
      <c r="Q27" s="4" t="n">
        <v>972</v>
      </c>
      <c r="R27" s="4" t="n">
        <v>92</v>
      </c>
      <c r="S27" s="4" t="n">
        <v>304</v>
      </c>
      <c r="T27" s="4" t="n">
        <v>975</v>
      </c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true" outlineLevel="0" collapsed="false">
      <c r="A29" s="4" t="s">
        <v>96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true" outlineLevel="0" collapsed="false">
      <c r="A31" s="3" t="s">
        <v>97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true" outlineLevel="0" collapsed="false">
      <c r="A32" s="5" t="s">
        <v>98</v>
      </c>
      <c r="B32" s="5" t="s">
        <v>99</v>
      </c>
      <c r="C32" s="5" t="s">
        <v>100</v>
      </c>
      <c r="D32" s="5" t="s">
        <v>101</v>
      </c>
      <c r="E32" s="5" t="s">
        <v>102</v>
      </c>
      <c r="F32" s="5" t="s">
        <v>103</v>
      </c>
      <c r="G32" s="5" t="s">
        <v>104</v>
      </c>
      <c r="H32" s="5" t="s">
        <v>105</v>
      </c>
      <c r="I32" s="5" t="s">
        <v>106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true" outlineLevel="0" collapsed="false">
      <c r="A33" s="4" t="s">
        <v>107</v>
      </c>
      <c r="B33" s="6" t="n">
        <f aca="false">CORREL('SCB bakgrund'!E2:E27,'KF 2026'!R2:R27)</f>
        <v>0.86427337709995</v>
      </c>
      <c r="C33" s="6" t="n">
        <f aca="false">CORREL('SCB bakgrund'!E2:E27,'KF 2026'!S2:S27)</f>
        <v>-0.185254936810368</v>
      </c>
      <c r="D33" s="6" t="n">
        <f aca="false">CORREL('SCB bakgrund'!E2:E27,'KF 2026'!U2:U27)</f>
        <v>-0.622807834708763</v>
      </c>
      <c r="E33" s="6" t="n">
        <f aca="false">CORREL('SCB bakgrund'!E2:E27,'KF 2026'!Q2:Q27)</f>
        <v>-0.789694645369768</v>
      </c>
      <c r="F33" s="6" t="n">
        <f aca="false">CORREL('SCB bakgrund'!E2:E27,'KF 2026'!T2:T27)</f>
        <v>0.947175032139321</v>
      </c>
      <c r="G33" s="6" t="n">
        <f aca="false">CORREL('SCB bakgrund'!E2:E27,'KF 2026'!Y2:Y27)</f>
        <v>-0.322040066413894</v>
      </c>
      <c r="H33" s="6" t="n">
        <f aca="false">CORREL('SCB bakgrund'!E2:E27,'KF 2026'!X2:X27)</f>
        <v>-0.525370868814011</v>
      </c>
      <c r="I33" s="6" t="n">
        <f aca="false">CORREL('SCB bakgrund'!E2:E27,'KF 2026'!V2:V27)</f>
        <v>0.0184361484844218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true" outlineLevel="0" collapsed="false">
      <c r="A34" s="4" t="s">
        <v>108</v>
      </c>
      <c r="B34" s="6" t="n">
        <f aca="false">CORREL('SCB bakgrund'!F2:F27,'KF 2026'!R2:R27)</f>
        <v>0.835367545861922</v>
      </c>
      <c r="C34" s="6" t="n">
        <f aca="false">CORREL('SCB bakgrund'!F2:F27,'KF 2026'!S2:S27)</f>
        <v>-0.0253266429552313</v>
      </c>
      <c r="D34" s="6" t="n">
        <f aca="false">CORREL('SCB bakgrund'!F2:F27,'KF 2026'!U2:U27)</f>
        <v>-0.470999886065799</v>
      </c>
      <c r="E34" s="6" t="n">
        <f aca="false">CORREL('SCB bakgrund'!F2:F27,'KF 2026'!Q2:Q27)</f>
        <v>-0.878676727605814</v>
      </c>
      <c r="F34" s="6" t="n">
        <f aca="false">CORREL('SCB bakgrund'!F2:F27,'KF 2026'!T2:T27)</f>
        <v>0.932977284632441</v>
      </c>
      <c r="G34" s="6" t="n">
        <f aca="false">CORREL('SCB bakgrund'!F2:F27,'KF 2026'!Y2:Y27)</f>
        <v>-0.228455721282755</v>
      </c>
      <c r="H34" s="6" t="n">
        <f aca="false">CORREL('SCB bakgrund'!F2:F27,'KF 2026'!X2:X27)</f>
        <v>-0.357642040496549</v>
      </c>
      <c r="I34" s="6" t="n">
        <f aca="false">CORREL('SCB bakgrund'!F2:F27,'KF 2026'!V2:V27)</f>
        <v>0.291250084342432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true" outlineLevel="0" collapsed="false">
      <c r="A35" s="4" t="s">
        <v>109</v>
      </c>
      <c r="B35" s="6" t="n">
        <f aca="false">CORREL('SCB bakgrund'!G2:G27,'KF 2026'!R2:R27)</f>
        <v>-0.915400038354442</v>
      </c>
      <c r="C35" s="6" t="n">
        <f aca="false">CORREL('SCB bakgrund'!G2:G27,'KF 2026'!S2:S27)</f>
        <v>-0.205057025771168</v>
      </c>
      <c r="D35" s="6" t="n">
        <f aca="false">CORREL('SCB bakgrund'!G2:G27,'KF 2026'!U2:U27)</f>
        <v>0.664286148917839</v>
      </c>
      <c r="E35" s="6" t="n">
        <f aca="false">CORREL('SCB bakgrund'!G2:G27,'KF 2026'!Q2:Q27)</f>
        <v>0.819888286180252</v>
      </c>
      <c r="F35" s="6" t="n">
        <f aca="false">CORREL('SCB bakgrund'!G2:G27,'KF 2026'!T2:T27)</f>
        <v>-0.758456736628324</v>
      </c>
      <c r="G35" s="6" t="n">
        <f aca="false">CORREL('SCB bakgrund'!G2:G27,'KF 2026'!Y2:Y27)</f>
        <v>0.237483054626178</v>
      </c>
      <c r="H35" s="6" t="n">
        <f aca="false">CORREL('SCB bakgrund'!G2:G27,'KF 2026'!X2:X27)</f>
        <v>0.588645798033135</v>
      </c>
      <c r="I35" s="6" t="n">
        <f aca="false">CORREL('SCB bakgrund'!G2:G27,'KF 2026'!V2:V27)</f>
        <v>-0.0105306650800742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true" outlineLevel="0" collapsed="false">
      <c r="A36" s="4" t="s">
        <v>110</v>
      </c>
      <c r="B36" s="6" t="n">
        <f aca="false">CORREL('SCB bakgrund'!H2:H27,'KF 2026'!R2:R27)</f>
        <v>-0.843450443055669</v>
      </c>
      <c r="C36" s="6" t="n">
        <f aca="false">CORREL('SCB bakgrund'!H2:H27,'KF 2026'!S2:S27)</f>
        <v>-0.333885561851416</v>
      </c>
      <c r="D36" s="6" t="n">
        <f aca="false">CORREL('SCB bakgrund'!H2:H27,'KF 2026'!U2:U27)</f>
        <v>0.655761489369019</v>
      </c>
      <c r="E36" s="6" t="n">
        <f aca="false">CORREL('SCB bakgrund'!H2:H27,'KF 2026'!Q2:Q27)</f>
        <v>0.785651140650157</v>
      </c>
      <c r="F36" s="6" t="n">
        <f aca="false">CORREL('SCB bakgrund'!H2:H27,'KF 2026'!T2:T27)</f>
        <v>-0.719777478386512</v>
      </c>
      <c r="G36" s="6" t="n">
        <f aca="false">CORREL('SCB bakgrund'!H2:H27,'KF 2026'!Y2:Y27)</f>
        <v>0.206090090033586</v>
      </c>
      <c r="H36" s="6" t="n">
        <f aca="false">CORREL('SCB bakgrund'!H2:H27,'KF 2026'!X2:X27)</f>
        <v>0.637043402275523</v>
      </c>
      <c r="I36" s="6" t="n">
        <f aca="false">CORREL('SCB bakgrund'!H2:H27,'KF 2026'!V2:V27)</f>
        <v>0.134790065988955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true" outlineLevel="0" collapsed="false">
      <c r="A37" s="4" t="s">
        <v>111</v>
      </c>
      <c r="B37" s="6" t="n">
        <f aca="false">CORREL('SCB bakgrund'!I2:I27,'KF 2026'!R2:R27)</f>
        <v>0.80882972198564</v>
      </c>
      <c r="C37" s="6" t="n">
        <f aca="false">CORREL('SCB bakgrund'!I2:I27,'KF 2026'!S2:S27)</f>
        <v>0.0930637911127185</v>
      </c>
      <c r="D37" s="6" t="n">
        <f aca="false">CORREL('SCB bakgrund'!I2:I27,'KF 2026'!U2:U27)</f>
        <v>-0.564567841826489</v>
      </c>
      <c r="E37" s="6" t="n">
        <f aca="false">CORREL('SCB bakgrund'!I2:I27,'KF 2026'!Q2:Q27)</f>
        <v>-0.804162649164598</v>
      </c>
      <c r="F37" s="6" t="n">
        <f aca="false">CORREL('SCB bakgrund'!I2:I27,'KF 2026'!T2:T27)</f>
        <v>0.875831954283124</v>
      </c>
      <c r="G37" s="6" t="n">
        <f aca="false">CORREL('SCB bakgrund'!I2:I27,'KF 2026'!Y2:Y27)</f>
        <v>-0.164233866988819</v>
      </c>
      <c r="H37" s="6" t="n">
        <f aca="false">CORREL('SCB bakgrund'!I2:I27,'KF 2026'!X2:X27)</f>
        <v>-0.529366646941923</v>
      </c>
      <c r="I37" s="6" t="n">
        <f aca="false">CORREL('SCB bakgrund'!I2:I27,'KF 2026'!V2:V27)</f>
        <v>-0.109002232242777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true" outlineLevel="0" collapsed="false">
      <c r="A38" s="4" t="s">
        <v>112</v>
      </c>
      <c r="B38" s="6" t="n">
        <f aca="false">CORREL('SCB bakgrund'!J2:J27,'KF 2026'!R2:R27)</f>
        <v>-0.242553257438791</v>
      </c>
      <c r="C38" s="6" t="n">
        <f aca="false">CORREL('SCB bakgrund'!J2:J27,'KF 2026'!S2:S27)</f>
        <v>-0.264017083347879</v>
      </c>
      <c r="D38" s="6" t="n">
        <f aca="false">CORREL('SCB bakgrund'!J2:J27,'KF 2026'!U2:U27)</f>
        <v>0.158343574257595</v>
      </c>
      <c r="E38" s="6" t="n">
        <f aca="false">CORREL('SCB bakgrund'!J2:J27,'KF 2026'!Q2:Q27)</f>
        <v>0.45300456597457</v>
      </c>
      <c r="F38" s="6" t="n">
        <f aca="false">CORREL('SCB bakgrund'!J2:J27,'KF 2026'!T2:T27)</f>
        <v>-0.528297135762069</v>
      </c>
      <c r="G38" s="6" t="n">
        <f aca="false">CORREL('SCB bakgrund'!J2:J27,'KF 2026'!Y2:Y27)</f>
        <v>-0.102285693172245</v>
      </c>
      <c r="H38" s="6" t="n">
        <f aca="false">CORREL('SCB bakgrund'!J2:J27,'KF 2026'!X2:X27)</f>
        <v>0.217736328925246</v>
      </c>
      <c r="I38" s="6" t="n">
        <f aca="false">CORREL('SCB bakgrund'!J2:J27,'KF 2026'!V2:V27)</f>
        <v>0.295503176148334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</cols>
  <sheetData>
    <row r="1" customFormat="false" ht="15" hidden="false" customHeight="false" outlineLevel="0" collapsed="false">
      <c r="A1" s="7" t="s">
        <v>113</v>
      </c>
      <c r="B1" s="7" t="s">
        <v>114</v>
      </c>
      <c r="C1" s="7" t="s">
        <v>115</v>
      </c>
      <c r="D1" s="7" t="s">
        <v>116</v>
      </c>
      <c r="E1" s="7" t="s">
        <v>117</v>
      </c>
      <c r="F1" s="7" t="s">
        <v>118</v>
      </c>
      <c r="G1" s="7" t="s">
        <v>119</v>
      </c>
      <c r="H1" s="7" t="s">
        <v>120</v>
      </c>
      <c r="I1" s="7" t="s">
        <v>121</v>
      </c>
      <c r="J1" s="7" t="s">
        <v>122</v>
      </c>
      <c r="K1" s="7" t="s">
        <v>123</v>
      </c>
      <c r="L1" s="7" t="s">
        <v>124</v>
      </c>
      <c r="M1" s="7" t="s">
        <v>125</v>
      </c>
      <c r="N1" s="7" t="s">
        <v>126</v>
      </c>
      <c r="O1" s="7" t="s">
        <v>127</v>
      </c>
      <c r="P1" s="7" t="s">
        <v>128</v>
      </c>
      <c r="Q1" s="7" t="s">
        <v>129</v>
      </c>
      <c r="R1" s="7" t="s">
        <v>130</v>
      </c>
      <c r="S1" s="7" t="s">
        <v>131</v>
      </c>
      <c r="T1" s="7" t="s">
        <v>132</v>
      </c>
      <c r="U1" s="7" t="s">
        <v>133</v>
      </c>
      <c r="V1" s="7" t="s">
        <v>134</v>
      </c>
      <c r="W1" s="7" t="s">
        <v>135</v>
      </c>
      <c r="X1" s="7" t="s">
        <v>16</v>
      </c>
      <c r="Y1" s="7" t="s">
        <v>136</v>
      </c>
      <c r="Z1" s="7" t="s">
        <v>137</v>
      </c>
    </row>
    <row r="2" customFormat="false" ht="15" hidden="false" customHeight="false" outlineLevel="0" collapsed="false">
      <c r="A2" s="8" t="n">
        <v>2006</v>
      </c>
      <c r="B2" s="8" t="s">
        <v>138</v>
      </c>
      <c r="C2" s="8" t="n">
        <f aca="false">SUMIFS('Historik distrikt'!F$2:F$448,'Historik distrikt'!$A$2:$A$448,$A2,'Historik distrikt'!$B$2:$B$448,$B2)</f>
        <v>7538</v>
      </c>
      <c r="D2" s="8" t="n">
        <f aca="false">SUMIFS('Historik distrikt'!G$2:G$448,'Historik distrikt'!$A$2:$A$448,$A2,'Historik distrikt'!$B$2:$B$448,$B2)</f>
        <v>3183</v>
      </c>
      <c r="E2" s="8" t="n">
        <f aca="false">SUMIFS('Historik distrikt'!H$2:H$448,'Historik distrikt'!$A$2:$A$448,$A2,'Historik distrikt'!$B$2:$B$448,$B2)</f>
        <v>5250</v>
      </c>
      <c r="F2" s="8" t="n">
        <f aca="false">SUMIFS('Historik distrikt'!I$2:I$448,'Historik distrikt'!$A$2:$A$448,$A2,'Historik distrikt'!$B$2:$B$448,$B2)</f>
        <v>5298</v>
      </c>
      <c r="G2" s="8" t="n">
        <f aca="false">SUMIFS('Historik distrikt'!J$2:J$448,'Historik distrikt'!$A$2:$A$448,$A2,'Historik distrikt'!$B$2:$B$448,$B2)</f>
        <v>823</v>
      </c>
      <c r="H2" s="8" t="n">
        <f aca="false">SUMIFS('Historik distrikt'!K$2:K$448,'Historik distrikt'!$A$2:$A$448,$A2,'Historik distrikt'!$B$2:$B$448,$B2)</f>
        <v>480</v>
      </c>
      <c r="I2" s="8" t="n">
        <f aca="false">SUMIFS('Historik distrikt'!L$2:L$448,'Historik distrikt'!$A$2:$A$448,$A2,'Historik distrikt'!$B$2:$B$448,$B2)</f>
        <v>295</v>
      </c>
      <c r="J2" s="8" t="n">
        <f aca="false">SUMIFS('Historik distrikt'!M$2:M$448,'Historik distrikt'!$A$2:$A$448,$A2,'Historik distrikt'!$B$2:$B$448,$B2)</f>
        <v>534</v>
      </c>
      <c r="K2" s="8" t="n">
        <f aca="false">SUMIFS('Historik distrikt'!N$2:N$448,'Historik distrikt'!$A$2:$A$448,$A2,'Historik distrikt'!$B$2:$B$448,$B2)</f>
        <v>0</v>
      </c>
      <c r="L2" s="8" t="n">
        <f aca="false">SUMIFS('Historik distrikt'!O$2:O$448,'Historik distrikt'!$A$2:$A$448,$A2,'Historik distrikt'!$B$2:$B$448,$B2)</f>
        <v>181</v>
      </c>
      <c r="M2" s="8" t="n">
        <f aca="false">SUMIFS('Historik distrikt'!P$2:P$448,'Historik distrikt'!$A$2:$A$448,$A2,'Historik distrikt'!$B$2:$B$448,$B2)</f>
        <v>23582</v>
      </c>
      <c r="N2" s="9" t="n">
        <f aca="false">C2/M2</f>
        <v>0.319650580951573</v>
      </c>
      <c r="O2" s="9" t="n">
        <f aca="false">D2/M2</f>
        <v>0.134975829022136</v>
      </c>
      <c r="P2" s="9" t="n">
        <f aca="false">E2/M2</f>
        <v>0.222627427699093</v>
      </c>
      <c r="Q2" s="9" t="n">
        <f aca="false">F2/M2</f>
        <v>0.224662878466627</v>
      </c>
      <c r="R2" s="9" t="n">
        <f aca="false">G2/M2</f>
        <v>0.034899499618353</v>
      </c>
      <c r="S2" s="9" t="n">
        <f aca="false">H2/M2</f>
        <v>0.0203545076753456</v>
      </c>
      <c r="T2" s="9" t="n">
        <f aca="false">I2/M2</f>
        <v>0.0125095411754728</v>
      </c>
      <c r="U2" s="9" t="n">
        <f aca="false">J2/M2</f>
        <v>0.022644389788822</v>
      </c>
      <c r="V2" s="9" t="n">
        <f aca="false">K2/M2</f>
        <v>0</v>
      </c>
      <c r="W2" s="9" t="n">
        <f aca="false">L2/M2</f>
        <v>0.00767534560257824</v>
      </c>
      <c r="X2" s="8" t="n">
        <f aca="false">SUMIFS('Historik distrikt'!S$2:S$448,'Historik distrikt'!$A$2:$A$448,$A2,'Historik distrikt'!$B$2:$B$448,$B2)</f>
        <v>31056</v>
      </c>
      <c r="Y2" s="8" t="n">
        <f aca="false">SUMIFS('Historik distrikt'!R$2:R$448,'Historik distrikt'!$A$2:$A$448,$A2,'Historik distrikt'!$B$2:$B$448,$B2)</f>
        <v>23841</v>
      </c>
      <c r="Z2" s="9" t="n">
        <f aca="false">Y2/X2</f>
        <v>0.767677743431221</v>
      </c>
    </row>
    <row r="3" customFormat="false" ht="15" hidden="false" customHeight="false" outlineLevel="0" collapsed="false">
      <c r="A3" s="8" t="n">
        <v>2006</v>
      </c>
      <c r="B3" s="8" t="s">
        <v>139</v>
      </c>
      <c r="C3" s="8" t="n">
        <f aca="false">SUMIFS('Historik distrikt'!F$2:F$448,'Historik distrikt'!$A$2:$A$448,$A3,'Historik distrikt'!$B$2:$B$448,$B3)</f>
        <v>9344</v>
      </c>
      <c r="D3" s="8" t="n">
        <f aca="false">SUMIFS('Historik distrikt'!G$2:G$448,'Historik distrikt'!$A$2:$A$448,$A3,'Historik distrikt'!$B$2:$B$448,$B3)</f>
        <v>4866</v>
      </c>
      <c r="E3" s="8" t="n">
        <f aca="false">SUMIFS('Historik distrikt'!H$2:H$448,'Historik distrikt'!$A$2:$A$448,$A3,'Historik distrikt'!$B$2:$B$448,$B3)</f>
        <v>2596</v>
      </c>
      <c r="F3" s="8" t="n">
        <f aca="false">SUMIFS('Historik distrikt'!I$2:I$448,'Historik distrikt'!$A$2:$A$448,$A3,'Historik distrikt'!$B$2:$B$448,$B3)</f>
        <v>3269</v>
      </c>
      <c r="G3" s="8" t="n">
        <f aca="false">SUMIFS('Historik distrikt'!J$2:J$448,'Historik distrikt'!$A$2:$A$448,$A3,'Historik distrikt'!$B$2:$B$448,$B3)</f>
        <v>962</v>
      </c>
      <c r="H3" s="8" t="n">
        <f aca="false">SUMIFS('Historik distrikt'!K$2:K$448,'Historik distrikt'!$A$2:$A$448,$A3,'Historik distrikt'!$B$2:$B$448,$B3)</f>
        <v>622</v>
      </c>
      <c r="I3" s="8" t="n">
        <f aca="false">SUMIFS('Historik distrikt'!L$2:L$448,'Historik distrikt'!$A$2:$A$448,$A3,'Historik distrikt'!$B$2:$B$448,$B3)</f>
        <v>564</v>
      </c>
      <c r="J3" s="8" t="n">
        <f aca="false">SUMIFS('Historik distrikt'!M$2:M$448,'Historik distrikt'!$A$2:$A$448,$A3,'Historik distrikt'!$B$2:$B$448,$B3)</f>
        <v>601</v>
      </c>
      <c r="K3" s="8" t="n">
        <f aca="false">SUMIFS('Historik distrikt'!N$2:N$448,'Historik distrikt'!$A$2:$A$448,$A3,'Historik distrikt'!$B$2:$B$448,$B3)</f>
        <v>0</v>
      </c>
      <c r="L3" s="8" t="n">
        <f aca="false">SUMIFS('Historik distrikt'!O$2:O$448,'Historik distrikt'!$A$2:$A$448,$A3,'Historik distrikt'!$B$2:$B$448,$B3)</f>
        <v>428</v>
      </c>
      <c r="M3" s="8" t="n">
        <f aca="false">SUMIFS('Historik distrikt'!P$2:P$448,'Historik distrikt'!$A$2:$A$448,$A3,'Historik distrikt'!$B$2:$B$448,$B3)</f>
        <v>23252</v>
      </c>
      <c r="N3" s="9" t="n">
        <f aca="false">C3/M3</f>
        <v>0.40185790469637</v>
      </c>
      <c r="O3" s="9" t="n">
        <f aca="false">D3/M3</f>
        <v>0.209272320660588</v>
      </c>
      <c r="P3" s="9" t="n">
        <f aca="false">E3/M3</f>
        <v>0.111646309994839</v>
      </c>
      <c r="Q3" s="9" t="n">
        <f aca="false">F3/M3</f>
        <v>0.14059005676931</v>
      </c>
      <c r="R3" s="9" t="n">
        <f aca="false">G3/M3</f>
        <v>0.0413727851367624</v>
      </c>
      <c r="S3" s="9" t="n">
        <f aca="false">H3/M3</f>
        <v>0.0267503870634784</v>
      </c>
      <c r="T3" s="9" t="n">
        <f aca="false">I3/M3</f>
        <v>0.0242559779803888</v>
      </c>
      <c r="U3" s="9" t="n">
        <f aca="false">J3/M3</f>
        <v>0.0258472389471873</v>
      </c>
      <c r="V3" s="9" t="n">
        <f aca="false">K3/M3</f>
        <v>0</v>
      </c>
      <c r="W3" s="9" t="n">
        <f aca="false">L3/M3</f>
        <v>0.0184070187510752</v>
      </c>
      <c r="X3" s="8" t="n">
        <f aca="false">SUMIFS('Historik distrikt'!S$2:S$448,'Historik distrikt'!$A$2:$A$448,$A3,'Historik distrikt'!$B$2:$B$448,$B3)</f>
        <v>31056</v>
      </c>
      <c r="Y3" s="8" t="n">
        <f aca="false">SUMIFS('Historik distrikt'!R$2:R$448,'Historik distrikt'!$A$2:$A$448,$A3,'Historik distrikt'!$B$2:$B$448,$B3)</f>
        <v>23680</v>
      </c>
      <c r="Z3" s="9" t="n">
        <f aca="false">Y3/X3</f>
        <v>0.762493560020608</v>
      </c>
    </row>
    <row r="4" customFormat="false" ht="15" hidden="false" customHeight="false" outlineLevel="0" collapsed="false">
      <c r="A4" s="8" t="n">
        <v>2006</v>
      </c>
      <c r="B4" s="8" t="s">
        <v>140</v>
      </c>
      <c r="C4" s="8" t="n">
        <f aca="false">SUMIFS('Historik distrikt'!F$2:F$448,'Historik distrikt'!$A$2:$A$448,$A4,'Historik distrikt'!$B$2:$B$448,$B4)</f>
        <v>9398</v>
      </c>
      <c r="D4" s="8" t="n">
        <f aca="false">SUMIFS('Historik distrikt'!G$2:G$448,'Historik distrikt'!$A$2:$A$448,$A4,'Historik distrikt'!$B$2:$B$448,$B4)</f>
        <v>5581</v>
      </c>
      <c r="E4" s="8" t="n">
        <f aca="false">SUMIFS('Historik distrikt'!H$2:H$448,'Historik distrikt'!$A$2:$A$448,$A4,'Historik distrikt'!$B$2:$B$448,$B4)</f>
        <v>1900</v>
      </c>
      <c r="F4" s="8" t="n">
        <f aca="false">SUMIFS('Historik distrikt'!I$2:I$448,'Historik distrikt'!$A$2:$A$448,$A4,'Historik distrikt'!$B$2:$B$448,$B4)</f>
        <v>2809</v>
      </c>
      <c r="G4" s="8" t="n">
        <f aca="false">SUMIFS('Historik distrikt'!J$2:J$448,'Historik distrikt'!$A$2:$A$448,$A4,'Historik distrikt'!$B$2:$B$448,$B4)</f>
        <v>889</v>
      </c>
      <c r="H4" s="8" t="n">
        <f aca="false">SUMIFS('Historik distrikt'!K$2:K$448,'Historik distrikt'!$A$2:$A$448,$A4,'Historik distrikt'!$B$2:$B$448,$B4)</f>
        <v>687</v>
      </c>
      <c r="I4" s="8" t="n">
        <f aca="false">SUMIFS('Historik distrikt'!L$2:L$448,'Historik distrikt'!$A$2:$A$448,$A4,'Historik distrikt'!$B$2:$B$448,$B4)</f>
        <v>633</v>
      </c>
      <c r="J4" s="8" t="n">
        <f aca="false">SUMIFS('Historik distrikt'!M$2:M$448,'Historik distrikt'!$A$2:$A$448,$A4,'Historik distrikt'!$B$2:$B$448,$B4)</f>
        <v>673</v>
      </c>
      <c r="K4" s="8" t="n">
        <f aca="false">SUMIFS('Historik distrikt'!N$2:N$448,'Historik distrikt'!$A$2:$A$448,$A4,'Historik distrikt'!$B$2:$B$448,$B4)</f>
        <v>0</v>
      </c>
      <c r="L4" s="8" t="n">
        <f aca="false">SUMIFS('Historik distrikt'!O$2:O$448,'Historik distrikt'!$A$2:$A$448,$A4,'Historik distrikt'!$B$2:$B$448,$B4)</f>
        <v>486</v>
      </c>
      <c r="M4" s="8" t="n">
        <f aca="false">SUMIFS('Historik distrikt'!P$2:P$448,'Historik distrikt'!$A$2:$A$448,$A4,'Historik distrikt'!$B$2:$B$448,$B4)</f>
        <v>23056</v>
      </c>
      <c r="N4" s="9" t="n">
        <f aca="false">C4/M4</f>
        <v>0.407616238723109</v>
      </c>
      <c r="O4" s="9" t="n">
        <f aca="false">D4/M4</f>
        <v>0.242062803608605</v>
      </c>
      <c r="P4" s="9" t="n">
        <f aca="false">E4/M4</f>
        <v>0.0824080499653019</v>
      </c>
      <c r="Q4" s="9" t="n">
        <f aca="false">F4/M4</f>
        <v>0.121833795975017</v>
      </c>
      <c r="R4" s="9" t="n">
        <f aca="false">G4/M4</f>
        <v>0.038558292852186</v>
      </c>
      <c r="S4" s="9" t="n">
        <f aca="false">H4/M4</f>
        <v>0.0297970159611381</v>
      </c>
      <c r="T4" s="9" t="n">
        <f aca="false">I4/M4</f>
        <v>0.0274548924358085</v>
      </c>
      <c r="U4" s="9" t="n">
        <f aca="false">J4/M4</f>
        <v>0.0291897987508675</v>
      </c>
      <c r="V4" s="9" t="n">
        <f aca="false">K4/M4</f>
        <v>0</v>
      </c>
      <c r="W4" s="9" t="n">
        <f aca="false">L4/M4</f>
        <v>0.0210791117279667</v>
      </c>
      <c r="X4" s="8" t="n">
        <f aca="false">SUMIFS('Historik distrikt'!S$2:S$448,'Historik distrikt'!$A$2:$A$448,$A4,'Historik distrikt'!$B$2:$B$448,$B4)</f>
        <v>29228</v>
      </c>
      <c r="Y4" s="8" t="n">
        <f aca="false">SUMIFS('Historik distrikt'!R$2:R$448,'Historik distrikt'!$A$2:$A$448,$A4,'Historik distrikt'!$B$2:$B$448,$B4)</f>
        <v>23369</v>
      </c>
      <c r="Z4" s="9" t="n">
        <f aca="false">Y4/X4</f>
        <v>0.799541535513891</v>
      </c>
    </row>
    <row r="5" customFormat="false" ht="15" hidden="false" customHeight="false" outlineLevel="0" collapsed="false">
      <c r="A5" s="8" t="n">
        <v>2010</v>
      </c>
      <c r="B5" s="8" t="s">
        <v>138</v>
      </c>
      <c r="C5" s="8" t="n">
        <f aca="false">SUMIFS('Historik distrikt'!F$2:F$448,'Historik distrikt'!$A$2:$A$448,$A5,'Historik distrikt'!$B$2:$B$448,$B5)</f>
        <v>8493</v>
      </c>
      <c r="D5" s="8" t="n">
        <f aca="false">SUMIFS('Historik distrikt'!G$2:G$448,'Historik distrikt'!$A$2:$A$448,$A5,'Historik distrikt'!$B$2:$B$448,$B5)</f>
        <v>2705</v>
      </c>
      <c r="E5" s="8" t="n">
        <f aca="false">SUMIFS('Historik distrikt'!H$2:H$448,'Historik distrikt'!$A$2:$A$448,$A5,'Historik distrikt'!$B$2:$B$448,$B5)</f>
        <v>3949</v>
      </c>
      <c r="F5" s="8" t="n">
        <f aca="false">SUMIFS('Historik distrikt'!I$2:I$448,'Historik distrikt'!$A$2:$A$448,$A5,'Historik distrikt'!$B$2:$B$448,$B5)</f>
        <v>7479</v>
      </c>
      <c r="G5" s="8" t="n">
        <f aca="false">SUMIFS('Historik distrikt'!J$2:J$448,'Historik distrikt'!$A$2:$A$448,$A5,'Historik distrikt'!$B$2:$B$448,$B5)</f>
        <v>1067</v>
      </c>
      <c r="H5" s="8" t="n">
        <f aca="false">SUMIFS('Historik distrikt'!K$2:K$448,'Historik distrikt'!$A$2:$A$448,$A5,'Historik distrikt'!$B$2:$B$448,$B5)</f>
        <v>326</v>
      </c>
      <c r="I5" s="8" t="n">
        <f aca="false">SUMIFS('Historik distrikt'!L$2:L$448,'Historik distrikt'!$A$2:$A$448,$A5,'Historik distrikt'!$B$2:$B$448,$B5)</f>
        <v>181</v>
      </c>
      <c r="J5" s="8" t="n">
        <f aca="false">SUMIFS('Historik distrikt'!M$2:M$448,'Historik distrikt'!$A$2:$A$448,$A5,'Historik distrikt'!$B$2:$B$448,$B5)</f>
        <v>728</v>
      </c>
      <c r="K5" s="8" t="n">
        <f aca="false">SUMIFS('Historik distrikt'!N$2:N$448,'Historik distrikt'!$A$2:$A$448,$A5,'Historik distrikt'!$B$2:$B$448,$B5)</f>
        <v>0</v>
      </c>
      <c r="L5" s="8" t="n">
        <f aca="false">SUMIFS('Historik distrikt'!O$2:O$448,'Historik distrikt'!$A$2:$A$448,$A5,'Historik distrikt'!$B$2:$B$448,$B5)</f>
        <v>30</v>
      </c>
      <c r="M5" s="8" t="n">
        <f aca="false">SUMIFS('Historik distrikt'!P$2:P$448,'Historik distrikt'!$A$2:$A$448,$A5,'Historik distrikt'!$B$2:$B$448,$B5)</f>
        <v>24958</v>
      </c>
      <c r="N5" s="9" t="n">
        <f aca="false">C5/M5</f>
        <v>0.340291690039266</v>
      </c>
      <c r="O5" s="9" t="n">
        <f aca="false">D5/M5</f>
        <v>0.108382081897588</v>
      </c>
      <c r="P5" s="9" t="n">
        <f aca="false">E5/M5</f>
        <v>0.158225819376553</v>
      </c>
      <c r="Q5" s="9" t="n">
        <f aca="false">F5/M5</f>
        <v>0.299663434570078</v>
      </c>
      <c r="R5" s="9" t="n">
        <f aca="false">G5/M5</f>
        <v>0.0427518230627454</v>
      </c>
      <c r="S5" s="9" t="n">
        <f aca="false">H5/M5</f>
        <v>0.0130619440660309</v>
      </c>
      <c r="T5" s="9" t="n">
        <f aca="false">I5/M5</f>
        <v>0.00725218366856319</v>
      </c>
      <c r="U5" s="9" t="n">
        <f aca="false">J5/M5</f>
        <v>0.0291690039265967</v>
      </c>
      <c r="V5" s="9" t="n">
        <f aca="false">K5/M5</f>
        <v>0</v>
      </c>
      <c r="W5" s="9" t="n">
        <f aca="false">L5/M5</f>
        <v>0.00120201939257953</v>
      </c>
      <c r="X5" s="8" t="n">
        <f aca="false">SUMIFS('Historik distrikt'!S$2:S$448,'Historik distrikt'!$A$2:$A$448,$A5,'Historik distrikt'!$B$2:$B$448,$B5)</f>
        <v>32426</v>
      </c>
      <c r="Y5" s="8" t="n">
        <f aca="false">SUMIFS('Historik distrikt'!R$2:R$448,'Historik distrikt'!$A$2:$A$448,$A5,'Historik distrikt'!$B$2:$B$448,$B5)</f>
        <v>25188</v>
      </c>
      <c r="Z5" s="9" t="n">
        <f aca="false">Y5/X5</f>
        <v>0.776784062172331</v>
      </c>
    </row>
    <row r="6" customFormat="false" ht="15" hidden="false" customHeight="false" outlineLevel="0" collapsed="false">
      <c r="A6" s="8" t="n">
        <v>2010</v>
      </c>
      <c r="B6" s="8" t="s">
        <v>139</v>
      </c>
      <c r="C6" s="8" t="n">
        <f aca="false">SUMIFS('Historik distrikt'!F$2:F$448,'Historik distrikt'!$A$2:$A$448,$A6,'Historik distrikt'!$B$2:$B$448,$B6)</f>
        <v>9700</v>
      </c>
      <c r="D6" s="8" t="n">
        <f aca="false">SUMIFS('Historik distrikt'!G$2:G$448,'Historik distrikt'!$A$2:$A$448,$A6,'Historik distrikt'!$B$2:$B$448,$B6)</f>
        <v>5091</v>
      </c>
      <c r="E6" s="8" t="n">
        <f aca="false">SUMIFS('Historik distrikt'!H$2:H$448,'Historik distrikt'!$A$2:$A$448,$A6,'Historik distrikt'!$B$2:$B$448,$B6)</f>
        <v>2609</v>
      </c>
      <c r="F6" s="8" t="n">
        <f aca="false">SUMIFS('Historik distrikt'!I$2:I$448,'Historik distrikt'!$A$2:$A$448,$A6,'Historik distrikt'!$B$2:$B$448,$B6)</f>
        <v>4019</v>
      </c>
      <c r="G6" s="8" t="n">
        <f aca="false">SUMIFS('Historik distrikt'!J$2:J$448,'Historik distrikt'!$A$2:$A$448,$A6,'Historik distrikt'!$B$2:$B$448,$B6)</f>
        <v>1064</v>
      </c>
      <c r="H6" s="8" t="n">
        <f aca="false">SUMIFS('Historik distrikt'!K$2:K$448,'Historik distrikt'!$A$2:$A$448,$A6,'Historik distrikt'!$B$2:$B$448,$B6)</f>
        <v>484</v>
      </c>
      <c r="I6" s="8" t="n">
        <f aca="false">SUMIFS('Historik distrikt'!L$2:L$448,'Historik distrikt'!$A$2:$A$448,$A6,'Historik distrikt'!$B$2:$B$448,$B6)</f>
        <v>443</v>
      </c>
      <c r="J6" s="8" t="n">
        <f aca="false">SUMIFS('Historik distrikt'!M$2:M$448,'Historik distrikt'!$A$2:$A$448,$A6,'Historik distrikt'!$B$2:$B$448,$B6)</f>
        <v>946</v>
      </c>
      <c r="K6" s="8" t="n">
        <f aca="false">SUMIFS('Historik distrikt'!N$2:N$448,'Historik distrikt'!$A$2:$A$448,$A6,'Historik distrikt'!$B$2:$B$448,$B6)</f>
        <v>0</v>
      </c>
      <c r="L6" s="8" t="n">
        <f aca="false">SUMIFS('Historik distrikt'!O$2:O$448,'Historik distrikt'!$A$2:$A$448,$A6,'Historik distrikt'!$B$2:$B$448,$B6)</f>
        <v>273</v>
      </c>
      <c r="M6" s="8" t="n">
        <f aca="false">SUMIFS('Historik distrikt'!P$2:P$448,'Historik distrikt'!$A$2:$A$448,$A6,'Historik distrikt'!$B$2:$B$448,$B6)</f>
        <v>24629</v>
      </c>
      <c r="N6" s="9" t="n">
        <f aca="false">C6/M6</f>
        <v>0.393844654675383</v>
      </c>
      <c r="O6" s="9" t="n">
        <f aca="false">D6/M6</f>
        <v>0.206707539891997</v>
      </c>
      <c r="P6" s="9" t="n">
        <f aca="false">E6/M6</f>
        <v>0.105932031345162</v>
      </c>
      <c r="Q6" s="9" t="n">
        <f aca="false">F6/M6</f>
        <v>0.16318161516911</v>
      </c>
      <c r="R6" s="9" t="n">
        <f aca="false">G6/M6</f>
        <v>0.0432011043891348</v>
      </c>
      <c r="S6" s="9" t="n">
        <f aca="false">H6/M6</f>
        <v>0.01965163019205</v>
      </c>
      <c r="T6" s="9" t="n">
        <f aca="false">I6/M6</f>
        <v>0.0179869259815664</v>
      </c>
      <c r="U6" s="9" t="n">
        <f aca="false">J6/M6</f>
        <v>0.0384100044662796</v>
      </c>
      <c r="V6" s="9" t="n">
        <f aca="false">K6/M6</f>
        <v>0</v>
      </c>
      <c r="W6" s="9" t="n">
        <f aca="false">L6/M6</f>
        <v>0.0110844938893175</v>
      </c>
      <c r="X6" s="8" t="n">
        <f aca="false">SUMIFS('Historik distrikt'!S$2:S$448,'Historik distrikt'!$A$2:$A$448,$A6,'Historik distrikt'!$B$2:$B$448,$B6)</f>
        <v>32426</v>
      </c>
      <c r="Y6" s="8" t="n">
        <f aca="false">SUMIFS('Historik distrikt'!R$2:R$448,'Historik distrikt'!$A$2:$A$448,$A6,'Historik distrikt'!$B$2:$B$448,$B6)</f>
        <v>24995</v>
      </c>
      <c r="Z6" s="9" t="n">
        <f aca="false">Y6/X6</f>
        <v>0.770832048356257</v>
      </c>
    </row>
    <row r="7" customFormat="false" ht="15" hidden="false" customHeight="false" outlineLevel="0" collapsed="false">
      <c r="A7" s="8" t="n">
        <v>2010</v>
      </c>
      <c r="B7" s="8" t="s">
        <v>140</v>
      </c>
      <c r="C7" s="8" t="n">
        <f aca="false">SUMIFS('Historik distrikt'!F$2:F$448,'Historik distrikt'!$A$2:$A$448,$A7,'Historik distrikt'!$B$2:$B$448,$B7)</f>
        <v>8730</v>
      </c>
      <c r="D7" s="8" t="n">
        <f aca="false">SUMIFS('Historik distrikt'!G$2:G$448,'Historik distrikt'!$A$2:$A$448,$A7,'Historik distrikt'!$B$2:$B$448,$B7)</f>
        <v>6877</v>
      </c>
      <c r="E7" s="8" t="n">
        <f aca="false">SUMIFS('Historik distrikt'!H$2:H$448,'Historik distrikt'!$A$2:$A$448,$A7,'Historik distrikt'!$B$2:$B$448,$B7)</f>
        <v>2408</v>
      </c>
      <c r="F7" s="8" t="n">
        <f aca="false">SUMIFS('Historik distrikt'!I$2:I$448,'Historik distrikt'!$A$2:$A$448,$A7,'Historik distrikt'!$B$2:$B$448,$B7)</f>
        <v>2849</v>
      </c>
      <c r="G7" s="8" t="n">
        <f aca="false">SUMIFS('Historik distrikt'!J$2:J$448,'Historik distrikt'!$A$2:$A$448,$A7,'Historik distrikt'!$B$2:$B$448,$B7)</f>
        <v>999</v>
      </c>
      <c r="H7" s="8" t="n">
        <f aca="false">SUMIFS('Historik distrikt'!K$2:K$448,'Historik distrikt'!$A$2:$A$448,$A7,'Historik distrikt'!$B$2:$B$448,$B7)</f>
        <v>605</v>
      </c>
      <c r="I7" s="8" t="n">
        <f aca="false">SUMIFS('Historik distrikt'!L$2:L$448,'Historik distrikt'!$A$2:$A$448,$A7,'Historik distrikt'!$B$2:$B$448,$B7)</f>
        <v>602</v>
      </c>
      <c r="J7" s="8" t="n">
        <f aca="false">SUMIFS('Historik distrikt'!M$2:M$448,'Historik distrikt'!$A$2:$A$448,$A7,'Historik distrikt'!$B$2:$B$448,$B7)</f>
        <v>1058</v>
      </c>
      <c r="K7" s="8" t="n">
        <f aca="false">SUMIFS('Historik distrikt'!N$2:N$448,'Historik distrikt'!$A$2:$A$448,$A7,'Historik distrikt'!$B$2:$B$448,$B7)</f>
        <v>0</v>
      </c>
      <c r="L7" s="8" t="n">
        <f aca="false">SUMIFS('Historik distrikt'!O$2:O$448,'Historik distrikt'!$A$2:$A$448,$A7,'Historik distrikt'!$B$2:$B$448,$B7)</f>
        <v>233</v>
      </c>
      <c r="M7" s="8" t="n">
        <f aca="false">SUMIFS('Historik distrikt'!P$2:P$448,'Historik distrikt'!$A$2:$A$448,$A7,'Historik distrikt'!$B$2:$B$448,$B7)</f>
        <v>24361</v>
      </c>
      <c r="N7" s="9" t="n">
        <f aca="false">C7/M7</f>
        <v>0.358359673248225</v>
      </c>
      <c r="O7" s="9" t="n">
        <f aca="false">D7/M7</f>
        <v>0.282295472271253</v>
      </c>
      <c r="P7" s="9" t="n">
        <f aca="false">E7/M7</f>
        <v>0.0988465169738517</v>
      </c>
      <c r="Q7" s="9" t="n">
        <f aca="false">F7/M7</f>
        <v>0.116949222117319</v>
      </c>
      <c r="R7" s="9" t="n">
        <f aca="false">G7/M7</f>
        <v>0.0410081687943845</v>
      </c>
      <c r="S7" s="9" t="n">
        <f aca="false">H7/M7</f>
        <v>0.0248347768975001</v>
      </c>
      <c r="T7" s="9" t="n">
        <f aca="false">I7/M7</f>
        <v>0.0247116292434629</v>
      </c>
      <c r="U7" s="9" t="n">
        <f aca="false">J7/M7</f>
        <v>0.0434300726571159</v>
      </c>
      <c r="V7" s="9" t="n">
        <f aca="false">K7/M7</f>
        <v>0</v>
      </c>
      <c r="W7" s="9" t="n">
        <f aca="false">L7/M7</f>
        <v>0.00956446779688847</v>
      </c>
      <c r="X7" s="8" t="n">
        <f aca="false">SUMIFS('Historik distrikt'!S$2:S$448,'Historik distrikt'!$A$2:$A$448,$A7,'Historik distrikt'!$B$2:$B$448,$B7)</f>
        <v>30056</v>
      </c>
      <c r="Y7" s="8" t="n">
        <f aca="false">SUMIFS('Historik distrikt'!R$2:R$448,'Historik distrikt'!$A$2:$A$448,$A7,'Historik distrikt'!$B$2:$B$448,$B7)</f>
        <v>24599</v>
      </c>
      <c r="Z7" s="9" t="n">
        <f aca="false">Y7/X7</f>
        <v>0.818438914027149</v>
      </c>
    </row>
    <row r="8" customFormat="false" ht="15" hidden="false" customHeight="false" outlineLevel="0" collapsed="false">
      <c r="A8" s="8" t="n">
        <v>2014</v>
      </c>
      <c r="B8" s="8" t="s">
        <v>138</v>
      </c>
      <c r="C8" s="8" t="n">
        <f aca="false">SUMIFS('Historik distrikt'!F$2:F$448,'Historik distrikt'!$A$2:$A$448,$A8,'Historik distrikt'!$B$2:$B$448,$B8)</f>
        <v>9037</v>
      </c>
      <c r="D8" s="8" t="n">
        <f aca="false">SUMIFS('Historik distrikt'!G$2:G$448,'Historik distrikt'!$A$2:$A$448,$A8,'Historik distrikt'!$B$2:$B$448,$B8)</f>
        <v>1854</v>
      </c>
      <c r="E8" s="8" t="n">
        <f aca="false">SUMIFS('Historik distrikt'!H$2:H$448,'Historik distrikt'!$A$2:$A$448,$A8,'Historik distrikt'!$B$2:$B$448,$B8)</f>
        <v>4836</v>
      </c>
      <c r="F8" s="8" t="n">
        <f aca="false">SUMIFS('Historik distrikt'!I$2:I$448,'Historik distrikt'!$A$2:$A$448,$A8,'Historik distrikt'!$B$2:$B$448,$B8)</f>
        <v>6668</v>
      </c>
      <c r="G8" s="8" t="n">
        <f aca="false">SUMIFS('Historik distrikt'!J$2:J$448,'Historik distrikt'!$A$2:$A$448,$A8,'Historik distrikt'!$B$2:$B$448,$B8)</f>
        <v>1080</v>
      </c>
      <c r="H8" s="8" t="n">
        <f aca="false">SUMIFS('Historik distrikt'!K$2:K$448,'Historik distrikt'!$A$2:$A$448,$A8,'Historik distrikt'!$B$2:$B$448,$B8)</f>
        <v>602</v>
      </c>
      <c r="I8" s="8" t="n">
        <f aca="false">SUMIFS('Historik distrikt'!L$2:L$448,'Historik distrikt'!$A$2:$A$448,$A8,'Historik distrikt'!$B$2:$B$448,$B8)</f>
        <v>167</v>
      </c>
      <c r="J8" s="8" t="n">
        <f aca="false">SUMIFS('Historik distrikt'!M$2:M$448,'Historik distrikt'!$A$2:$A$448,$A8,'Historik distrikt'!$B$2:$B$448,$B8)</f>
        <v>970</v>
      </c>
      <c r="K8" s="8" t="n">
        <f aca="false">SUMIFS('Historik distrikt'!N$2:N$448,'Historik distrikt'!$A$2:$A$448,$A8,'Historik distrikt'!$B$2:$B$448,$B8)</f>
        <v>0</v>
      </c>
      <c r="L8" s="8" t="n">
        <f aca="false">SUMIFS('Historik distrikt'!O$2:O$448,'Historik distrikt'!$A$2:$A$448,$A8,'Historik distrikt'!$B$2:$B$448,$B8)</f>
        <v>691</v>
      </c>
      <c r="M8" s="8" t="n">
        <f aca="false">SUMIFS('Historik distrikt'!P$2:P$448,'Historik distrikt'!$A$2:$A$448,$A8,'Historik distrikt'!$B$2:$B$448,$B8)</f>
        <v>25905</v>
      </c>
      <c r="N8" s="9" t="n">
        <f aca="false">C8/M8</f>
        <v>0.348851573055395</v>
      </c>
      <c r="O8" s="9" t="n">
        <f aca="false">D8/M8</f>
        <v>0.0715691951360741</v>
      </c>
      <c r="P8" s="9" t="n">
        <f aca="false">E8/M8</f>
        <v>0.186682107701216</v>
      </c>
      <c r="Q8" s="9" t="n">
        <f aca="false">F8/M8</f>
        <v>0.257402045937078</v>
      </c>
      <c r="R8" s="9" t="n">
        <f aca="false">G8/M8</f>
        <v>0.04169079328315</v>
      </c>
      <c r="S8" s="9" t="n">
        <f aca="false">H8/M8</f>
        <v>0.0232387569967188</v>
      </c>
      <c r="T8" s="9" t="n">
        <f aca="false">I8/M8</f>
        <v>0.00644663192433893</v>
      </c>
      <c r="U8" s="9" t="n">
        <f aca="false">J8/M8</f>
        <v>0.0374445087820884</v>
      </c>
      <c r="V8" s="9" t="n">
        <f aca="false">K8/M8</f>
        <v>0</v>
      </c>
      <c r="W8" s="9" t="n">
        <f aca="false">L8/M8</f>
        <v>0.0266743871839413</v>
      </c>
      <c r="X8" s="8" t="n">
        <f aca="false">SUMIFS('Historik distrikt'!S$2:S$448,'Historik distrikt'!$A$2:$A$448,$A8,'Historik distrikt'!$B$2:$B$448,$B8)</f>
        <v>33566</v>
      </c>
      <c r="Y8" s="8" t="n">
        <f aca="false">SUMIFS('Historik distrikt'!R$2:R$448,'Historik distrikt'!$A$2:$A$448,$A8,'Historik distrikt'!$B$2:$B$448,$B8)</f>
        <v>26156</v>
      </c>
      <c r="Z8" s="9" t="n">
        <f aca="false">Y8/X8</f>
        <v>0.779240898528273</v>
      </c>
    </row>
    <row r="9" customFormat="false" ht="15" hidden="false" customHeight="false" outlineLevel="0" collapsed="false">
      <c r="A9" s="8" t="n">
        <v>2014</v>
      </c>
      <c r="B9" s="8" t="s">
        <v>139</v>
      </c>
      <c r="C9" s="8" t="n">
        <f aca="false">SUMIFS('Historik distrikt'!F$2:F$448,'Historik distrikt'!$A$2:$A$448,$A9,'Historik distrikt'!$B$2:$B$448,$B9)</f>
        <v>10671</v>
      </c>
      <c r="D9" s="8" t="n">
        <f aca="false">SUMIFS('Historik distrikt'!G$2:G$448,'Historik distrikt'!$A$2:$A$448,$A9,'Historik distrikt'!$B$2:$B$448,$B9)</f>
        <v>3546</v>
      </c>
      <c r="E9" s="8" t="n">
        <f aca="false">SUMIFS('Historik distrikt'!H$2:H$448,'Historik distrikt'!$A$2:$A$448,$A9,'Historik distrikt'!$B$2:$B$448,$B9)</f>
        <v>4104</v>
      </c>
      <c r="F9" s="8" t="n">
        <f aca="false">SUMIFS('Historik distrikt'!I$2:I$448,'Historik distrikt'!$A$2:$A$448,$A9,'Historik distrikt'!$B$2:$B$448,$B9)</f>
        <v>2837</v>
      </c>
      <c r="G9" s="8" t="n">
        <f aca="false">SUMIFS('Historik distrikt'!J$2:J$448,'Historik distrikt'!$A$2:$A$448,$A9,'Historik distrikt'!$B$2:$B$448,$B9)</f>
        <v>1239</v>
      </c>
      <c r="H9" s="8" t="n">
        <f aca="false">SUMIFS('Historik distrikt'!K$2:K$448,'Historik distrikt'!$A$2:$A$448,$A9,'Historik distrikt'!$B$2:$B$448,$B9)</f>
        <v>659</v>
      </c>
      <c r="I9" s="8" t="n">
        <f aca="false">SUMIFS('Historik distrikt'!L$2:L$448,'Historik distrikt'!$A$2:$A$448,$A9,'Historik distrikt'!$B$2:$B$448,$B9)</f>
        <v>505</v>
      </c>
      <c r="J9" s="8" t="n">
        <f aca="false">SUMIFS('Historik distrikt'!M$2:M$448,'Historik distrikt'!$A$2:$A$448,$A9,'Historik distrikt'!$B$2:$B$448,$B9)</f>
        <v>1125</v>
      </c>
      <c r="K9" s="8" t="n">
        <f aca="false">SUMIFS('Historik distrikt'!N$2:N$448,'Historik distrikt'!$A$2:$A$448,$A9,'Historik distrikt'!$B$2:$B$448,$B9)</f>
        <v>0</v>
      </c>
      <c r="L9" s="8" t="n">
        <f aca="false">SUMIFS('Historik distrikt'!O$2:O$448,'Historik distrikt'!$A$2:$A$448,$A9,'Historik distrikt'!$B$2:$B$448,$B9)</f>
        <v>993</v>
      </c>
      <c r="M9" s="8" t="n">
        <f aca="false">SUMIFS('Historik distrikt'!P$2:P$448,'Historik distrikt'!$A$2:$A$448,$A9,'Historik distrikt'!$B$2:$B$448,$B9)</f>
        <v>25679</v>
      </c>
      <c r="N9" s="9" t="n">
        <f aca="false">C9/M9</f>
        <v>0.415553565169983</v>
      </c>
      <c r="O9" s="9" t="n">
        <f aca="false">D9/M9</f>
        <v>0.138089489466101</v>
      </c>
      <c r="P9" s="9" t="n">
        <f aca="false">E9/M9</f>
        <v>0.159819307605436</v>
      </c>
      <c r="Q9" s="9" t="n">
        <f aca="false">F9/M9</f>
        <v>0.110479380038163</v>
      </c>
      <c r="R9" s="9" t="n">
        <f aca="false">G9/M9</f>
        <v>0.0482495424276646</v>
      </c>
      <c r="S9" s="9" t="n">
        <f aca="false">H9/M9</f>
        <v>0.0256629931072082</v>
      </c>
      <c r="T9" s="9" t="n">
        <f aca="false">I9/M9</f>
        <v>0.0196658748393629</v>
      </c>
      <c r="U9" s="9" t="n">
        <f aca="false">J9/M9</f>
        <v>0.0438101172164025</v>
      </c>
      <c r="V9" s="9" t="n">
        <f aca="false">K9/M9</f>
        <v>0</v>
      </c>
      <c r="W9" s="9" t="n">
        <f aca="false">L9/M9</f>
        <v>0.038669730129678</v>
      </c>
      <c r="X9" s="8" t="n">
        <f aca="false">SUMIFS('Historik distrikt'!S$2:S$448,'Historik distrikt'!$A$2:$A$448,$A9,'Historik distrikt'!$B$2:$B$448,$B9)</f>
        <v>33566</v>
      </c>
      <c r="Y9" s="8" t="n">
        <f aca="false">SUMIFS('Historik distrikt'!R$2:R$448,'Historik distrikt'!$A$2:$A$448,$A9,'Historik distrikt'!$B$2:$B$448,$B9)</f>
        <v>26041</v>
      </c>
      <c r="Z9" s="9" t="n">
        <f aca="false">Y9/X9</f>
        <v>0.775814812607996</v>
      </c>
    </row>
    <row r="10" customFormat="false" ht="15" hidden="false" customHeight="false" outlineLevel="0" collapsed="false">
      <c r="A10" s="8" t="n">
        <v>2014</v>
      </c>
      <c r="B10" s="8" t="s">
        <v>140</v>
      </c>
      <c r="C10" s="8" t="n">
        <f aca="false">SUMIFS('Historik distrikt'!F$2:F$448,'Historik distrikt'!$A$2:$A$448,$A10,'Historik distrikt'!$B$2:$B$448,$B10)</f>
        <v>9468</v>
      </c>
      <c r="D10" s="8" t="n">
        <f aca="false">SUMIFS('Historik distrikt'!G$2:G$448,'Historik distrikt'!$A$2:$A$448,$A10,'Historik distrikt'!$B$2:$B$448,$B10)</f>
        <v>5044</v>
      </c>
      <c r="E10" s="8" t="n">
        <f aca="false">SUMIFS('Historik distrikt'!H$2:H$448,'Historik distrikt'!$A$2:$A$448,$A10,'Historik distrikt'!$B$2:$B$448,$B10)</f>
        <v>4768</v>
      </c>
      <c r="F10" s="8" t="n">
        <f aca="false">SUMIFS('Historik distrikt'!I$2:I$448,'Historik distrikt'!$A$2:$A$448,$A10,'Historik distrikt'!$B$2:$B$448,$B10)</f>
        <v>1767</v>
      </c>
      <c r="G10" s="8" t="n">
        <f aca="false">SUMIFS('Historik distrikt'!J$2:J$448,'Historik distrikt'!$A$2:$A$448,$A10,'Historik distrikt'!$B$2:$B$448,$B10)</f>
        <v>1063</v>
      </c>
      <c r="H10" s="8" t="n">
        <f aca="false">SUMIFS('Historik distrikt'!K$2:K$448,'Historik distrikt'!$A$2:$A$448,$A10,'Historik distrikt'!$B$2:$B$448,$B10)</f>
        <v>717</v>
      </c>
      <c r="I10" s="8" t="n">
        <f aca="false">SUMIFS('Historik distrikt'!L$2:L$448,'Historik distrikt'!$A$2:$A$448,$A10,'Historik distrikt'!$B$2:$B$448,$B10)</f>
        <v>502</v>
      </c>
      <c r="J10" s="8" t="n">
        <f aca="false">SUMIFS('Historik distrikt'!M$2:M$448,'Historik distrikt'!$A$2:$A$448,$A10,'Historik distrikt'!$B$2:$B$448,$B10)</f>
        <v>1267</v>
      </c>
      <c r="K10" s="8" t="n">
        <f aca="false">SUMIFS('Historik distrikt'!N$2:N$448,'Historik distrikt'!$A$2:$A$448,$A10,'Historik distrikt'!$B$2:$B$448,$B10)</f>
        <v>0</v>
      </c>
      <c r="L10" s="8" t="n">
        <f aca="false">SUMIFS('Historik distrikt'!O$2:O$448,'Historik distrikt'!$A$2:$A$448,$A10,'Historik distrikt'!$B$2:$B$448,$B10)</f>
        <v>758</v>
      </c>
      <c r="M10" s="8" t="n">
        <f aca="false">SUMIFS('Historik distrikt'!P$2:P$448,'Historik distrikt'!$A$2:$A$448,$A10,'Historik distrikt'!$B$2:$B$448,$B10)</f>
        <v>25354</v>
      </c>
      <c r="N10" s="9" t="n">
        <f aca="false">C10/M10</f>
        <v>0.37343220004733</v>
      </c>
      <c r="O10" s="9" t="n">
        <f aca="false">D10/M10</f>
        <v>0.19894296757908</v>
      </c>
      <c r="P10" s="9" t="n">
        <f aca="false">E10/M10</f>
        <v>0.188057111303936</v>
      </c>
      <c r="Q10" s="9" t="n">
        <f aca="false">F10/M10</f>
        <v>0.0696931450658673</v>
      </c>
      <c r="R10" s="9" t="n">
        <f aca="false">G10/M10</f>
        <v>0.0419263232626016</v>
      </c>
      <c r="S10" s="9" t="n">
        <f aca="false">H10/M10</f>
        <v>0.0282795614104283</v>
      </c>
      <c r="T10" s="9" t="n">
        <f aca="false">I10/M10</f>
        <v>0.0197996371381242</v>
      </c>
      <c r="U10" s="9" t="n">
        <f aca="false">J10/M10</f>
        <v>0.0499723909442297</v>
      </c>
      <c r="V10" s="9" t="n">
        <f aca="false">K10/M10</f>
        <v>0</v>
      </c>
      <c r="W10" s="9" t="n">
        <f aca="false">L10/M10</f>
        <v>0.0298966632484026</v>
      </c>
      <c r="X10" s="8" t="n">
        <f aca="false">SUMIFS('Historik distrikt'!S$2:S$448,'Historik distrikt'!$A$2:$A$448,$A10,'Historik distrikt'!$B$2:$B$448,$B10)</f>
        <v>31279</v>
      </c>
      <c r="Y10" s="8" t="n">
        <f aca="false">SUMIFS('Historik distrikt'!R$2:R$448,'Historik distrikt'!$A$2:$A$448,$A10,'Historik distrikt'!$B$2:$B$448,$B10)</f>
        <v>25606</v>
      </c>
      <c r="Z10" s="9" t="n">
        <f aca="false">Y10/X10</f>
        <v>0.818632309217047</v>
      </c>
    </row>
    <row r="11" customFormat="false" ht="15" hidden="false" customHeight="false" outlineLevel="0" collapsed="false">
      <c r="A11" s="8" t="n">
        <v>2018</v>
      </c>
      <c r="B11" s="8" t="s">
        <v>138</v>
      </c>
      <c r="C11" s="8" t="n">
        <f aca="false">SUMIFS('Historik distrikt'!F$2:F$448,'Historik distrikt'!$A$2:$A$448,$A11,'Historik distrikt'!$B$2:$B$448,$B11)</f>
        <v>7652</v>
      </c>
      <c r="D11" s="8" t="n">
        <f aca="false">SUMIFS('Historik distrikt'!G$2:G$448,'Historik distrikt'!$A$2:$A$448,$A11,'Historik distrikt'!$B$2:$B$448,$B11)</f>
        <v>1879</v>
      </c>
      <c r="E11" s="8" t="n">
        <f aca="false">SUMIFS('Historik distrikt'!H$2:H$448,'Historik distrikt'!$A$2:$A$448,$A11,'Historik distrikt'!$B$2:$B$448,$B11)</f>
        <v>5273</v>
      </c>
      <c r="F11" s="8" t="n">
        <f aca="false">SUMIFS('Historik distrikt'!I$2:I$448,'Historik distrikt'!$A$2:$A$448,$A11,'Historik distrikt'!$B$2:$B$448,$B11)</f>
        <v>9377</v>
      </c>
      <c r="G11" s="8" t="n">
        <f aca="false">SUMIFS('Historik distrikt'!J$2:J$448,'Historik distrikt'!$A$2:$A$448,$A11,'Historik distrikt'!$B$2:$B$448,$B11)</f>
        <v>1235</v>
      </c>
      <c r="H11" s="8" t="n">
        <f aca="false">SUMIFS('Historik distrikt'!K$2:K$448,'Historik distrikt'!$A$2:$A$448,$A11,'Historik distrikt'!$B$2:$B$448,$B11)</f>
        <v>598</v>
      </c>
      <c r="I11" s="8" t="n">
        <f aca="false">SUMIFS('Historik distrikt'!L$2:L$448,'Historik distrikt'!$A$2:$A$448,$A11,'Historik distrikt'!$B$2:$B$448,$B11)</f>
        <v>164</v>
      </c>
      <c r="J11" s="8" t="n">
        <f aca="false">SUMIFS('Historik distrikt'!M$2:M$448,'Historik distrikt'!$A$2:$A$448,$A11,'Historik distrikt'!$B$2:$B$448,$B11)</f>
        <v>854</v>
      </c>
      <c r="K11" s="8" t="n">
        <f aca="false">SUMIFS('Historik distrikt'!N$2:N$448,'Historik distrikt'!$A$2:$A$448,$A11,'Historik distrikt'!$B$2:$B$448,$B11)</f>
        <v>0</v>
      </c>
      <c r="L11" s="8" t="n">
        <f aca="false">SUMIFS('Historik distrikt'!O$2:O$448,'Historik distrikt'!$A$2:$A$448,$A11,'Historik distrikt'!$B$2:$B$448,$B11)</f>
        <v>353</v>
      </c>
      <c r="M11" s="8" t="n">
        <f aca="false">SUMIFS('Historik distrikt'!P$2:P$448,'Historik distrikt'!$A$2:$A$448,$A11,'Historik distrikt'!$B$2:$B$448,$B11)</f>
        <v>27385</v>
      </c>
      <c r="N11" s="9" t="n">
        <f aca="false">C11/M11</f>
        <v>0.279423041811211</v>
      </c>
      <c r="O11" s="9" t="n">
        <f aca="false">D11/M11</f>
        <v>0.0686142048566734</v>
      </c>
      <c r="P11" s="9" t="n">
        <f aca="false">E11/M11</f>
        <v>0.192550666423224</v>
      </c>
      <c r="Q11" s="9" t="n">
        <f aca="false">F11/M11</f>
        <v>0.34241373014424</v>
      </c>
      <c r="R11" s="9" t="n">
        <f aca="false">G11/M11</f>
        <v>0.0450976812123425</v>
      </c>
      <c r="S11" s="9" t="n">
        <f aca="false">H11/M11</f>
        <v>0.0218367719554501</v>
      </c>
      <c r="T11" s="9" t="n">
        <f aca="false">I11/M11</f>
        <v>0.00598867993427059</v>
      </c>
      <c r="U11" s="9" t="n">
        <f aca="false">J11/M11</f>
        <v>0.0311849552674822</v>
      </c>
      <c r="V11" s="9" t="n">
        <f aca="false">K11/M11</f>
        <v>0</v>
      </c>
      <c r="W11" s="9" t="n">
        <f aca="false">L11/M11</f>
        <v>0.0128902683951068</v>
      </c>
      <c r="X11" s="8" t="n">
        <f aca="false">SUMIFS('Historik distrikt'!S$2:S$448,'Historik distrikt'!$A$2:$A$448,$A11,'Historik distrikt'!$B$2:$B$448,$B11)</f>
        <v>34701</v>
      </c>
      <c r="Y11" s="8" t="n">
        <f aca="false">SUMIFS('Historik distrikt'!R$2:R$448,'Historik distrikt'!$A$2:$A$448,$A11,'Historik distrikt'!$B$2:$B$448,$B11)</f>
        <v>27675</v>
      </c>
      <c r="Z11" s="9" t="n">
        <f aca="false">Y11/X11</f>
        <v>0.797527448776692</v>
      </c>
    </row>
    <row r="12" customFormat="false" ht="15" hidden="false" customHeight="false" outlineLevel="0" collapsed="false">
      <c r="A12" s="8" t="n">
        <v>2018</v>
      </c>
      <c r="B12" s="8" t="s">
        <v>139</v>
      </c>
      <c r="C12" s="8" t="n">
        <f aca="false">SUMIFS('Historik distrikt'!F$2:F$448,'Historik distrikt'!$A$2:$A$448,$A12,'Historik distrikt'!$B$2:$B$448,$B12)</f>
        <v>9332</v>
      </c>
      <c r="D12" s="8" t="n">
        <f aca="false">SUMIFS('Historik distrikt'!G$2:G$448,'Historik distrikt'!$A$2:$A$448,$A12,'Historik distrikt'!$B$2:$B$448,$B12)</f>
        <v>4250</v>
      </c>
      <c r="E12" s="8" t="n">
        <f aca="false">SUMIFS('Historik distrikt'!H$2:H$448,'Historik distrikt'!$A$2:$A$448,$A12,'Historik distrikt'!$B$2:$B$448,$B12)</f>
        <v>5699</v>
      </c>
      <c r="F12" s="8" t="n">
        <f aca="false">SUMIFS('Historik distrikt'!I$2:I$448,'Historik distrikt'!$A$2:$A$448,$A12,'Historik distrikt'!$B$2:$B$448,$B12)</f>
        <v>2999</v>
      </c>
      <c r="G12" s="8" t="n">
        <f aca="false">SUMIFS('Historik distrikt'!J$2:J$448,'Historik distrikt'!$A$2:$A$448,$A12,'Historik distrikt'!$B$2:$B$448,$B12)</f>
        <v>1472</v>
      </c>
      <c r="H12" s="8" t="n">
        <f aca="false">SUMIFS('Historik distrikt'!K$2:K$448,'Historik distrikt'!$A$2:$A$448,$A12,'Historik distrikt'!$B$2:$B$448,$B12)</f>
        <v>1037</v>
      </c>
      <c r="I12" s="8" t="n">
        <f aca="false">SUMIFS('Historik distrikt'!L$2:L$448,'Historik distrikt'!$A$2:$A$448,$A12,'Historik distrikt'!$B$2:$B$448,$B12)</f>
        <v>1151</v>
      </c>
      <c r="J12" s="8" t="n">
        <f aca="false">SUMIFS('Historik distrikt'!M$2:M$448,'Historik distrikt'!$A$2:$A$448,$A12,'Historik distrikt'!$B$2:$B$448,$B12)</f>
        <v>799</v>
      </c>
      <c r="K12" s="8" t="n">
        <f aca="false">SUMIFS('Historik distrikt'!N$2:N$448,'Historik distrikt'!$A$2:$A$448,$A12,'Historik distrikt'!$B$2:$B$448,$B12)</f>
        <v>0</v>
      </c>
      <c r="L12" s="8" t="n">
        <f aca="false">SUMIFS('Historik distrikt'!O$2:O$448,'Historik distrikt'!$A$2:$A$448,$A12,'Historik distrikt'!$B$2:$B$448,$B12)</f>
        <v>347</v>
      </c>
      <c r="M12" s="8" t="n">
        <f aca="false">SUMIFS('Historik distrikt'!P$2:P$448,'Historik distrikt'!$A$2:$A$448,$A12,'Historik distrikt'!$B$2:$B$448,$B12)</f>
        <v>27086</v>
      </c>
      <c r="N12" s="9" t="n">
        <f aca="false">C12/M12</f>
        <v>0.344532230672672</v>
      </c>
      <c r="O12" s="9" t="n">
        <f aca="false">D12/M12</f>
        <v>0.156907627556671</v>
      </c>
      <c r="P12" s="9" t="n">
        <f aca="false">E12/M12</f>
        <v>0.210403898693052</v>
      </c>
      <c r="Q12" s="9" t="n">
        <f aca="false">F12/M12</f>
        <v>0.110721405892343</v>
      </c>
      <c r="R12" s="9" t="n">
        <f aca="false">G12/M12</f>
        <v>0.0543454182972753</v>
      </c>
      <c r="S12" s="9" t="n">
        <f aca="false">H12/M12</f>
        <v>0.0382854611238278</v>
      </c>
      <c r="T12" s="9" t="n">
        <f aca="false">I12/M12</f>
        <v>0.0424942774865244</v>
      </c>
      <c r="U12" s="9" t="n">
        <f aca="false">J12/M12</f>
        <v>0.0294986339806542</v>
      </c>
      <c r="V12" s="9" t="n">
        <f aca="false">K12/M12</f>
        <v>0</v>
      </c>
      <c r="W12" s="9" t="n">
        <f aca="false">L12/M12</f>
        <v>0.01281104629698</v>
      </c>
      <c r="X12" s="8" t="n">
        <f aca="false">SUMIFS('Historik distrikt'!S$2:S$448,'Historik distrikt'!$A$2:$A$448,$A12,'Historik distrikt'!$B$2:$B$448,$B12)</f>
        <v>34701</v>
      </c>
      <c r="Y12" s="8" t="n">
        <f aca="false">SUMIFS('Historik distrikt'!R$2:R$448,'Historik distrikt'!$A$2:$A$448,$A12,'Historik distrikt'!$B$2:$B$448,$B12)</f>
        <v>27527</v>
      </c>
      <c r="Z12" s="9" t="n">
        <f aca="false">Y12/X12</f>
        <v>0.793262442004553</v>
      </c>
    </row>
    <row r="13" customFormat="false" ht="15" hidden="false" customHeight="false" outlineLevel="0" collapsed="false">
      <c r="A13" s="8" t="n">
        <v>2018</v>
      </c>
      <c r="B13" s="8" t="s">
        <v>140</v>
      </c>
      <c r="C13" s="8" t="n">
        <f aca="false">SUMIFS('Historik distrikt'!F$2:F$448,'Historik distrikt'!$A$2:$A$448,$A13,'Historik distrikt'!$B$2:$B$448,$B13)</f>
        <v>8591</v>
      </c>
      <c r="D13" s="8" t="n">
        <f aca="false">SUMIFS('Historik distrikt'!G$2:G$448,'Historik distrikt'!$A$2:$A$448,$A13,'Historik distrikt'!$B$2:$B$448,$B13)</f>
        <v>4722</v>
      </c>
      <c r="E13" s="8" t="n">
        <f aca="false">SUMIFS('Historik distrikt'!H$2:H$448,'Historik distrikt'!$A$2:$A$448,$A13,'Historik distrikt'!$B$2:$B$448,$B13)</f>
        <v>6800</v>
      </c>
      <c r="F13" s="8" t="n">
        <f aca="false">SUMIFS('Historik distrikt'!I$2:I$448,'Historik distrikt'!$A$2:$A$448,$A13,'Historik distrikt'!$B$2:$B$448,$B13)</f>
        <v>1803</v>
      </c>
      <c r="G13" s="8" t="n">
        <f aca="false">SUMIFS('Historik distrikt'!J$2:J$448,'Historik distrikt'!$A$2:$A$448,$A13,'Historik distrikt'!$B$2:$B$448,$B13)</f>
        <v>1374</v>
      </c>
      <c r="H13" s="8" t="n">
        <f aca="false">SUMIFS('Historik distrikt'!K$2:K$448,'Historik distrikt'!$A$2:$A$448,$A13,'Historik distrikt'!$B$2:$B$448,$B13)</f>
        <v>1196</v>
      </c>
      <c r="I13" s="8" t="n">
        <f aca="false">SUMIFS('Historik distrikt'!L$2:L$448,'Historik distrikt'!$A$2:$A$448,$A13,'Historik distrikt'!$B$2:$B$448,$B13)</f>
        <v>1084</v>
      </c>
      <c r="J13" s="8" t="n">
        <f aca="false">SUMIFS('Historik distrikt'!M$2:M$448,'Historik distrikt'!$A$2:$A$448,$A13,'Historik distrikt'!$B$2:$B$448,$B13)</f>
        <v>854</v>
      </c>
      <c r="K13" s="8" t="n">
        <f aca="false">SUMIFS('Historik distrikt'!N$2:N$448,'Historik distrikt'!$A$2:$A$448,$A13,'Historik distrikt'!$B$2:$B$448,$B13)</f>
        <v>0</v>
      </c>
      <c r="L13" s="8" t="n">
        <f aca="false">SUMIFS('Historik distrikt'!O$2:O$448,'Historik distrikt'!$A$2:$A$448,$A13,'Historik distrikt'!$B$2:$B$448,$B13)</f>
        <v>359</v>
      </c>
      <c r="M13" s="8" t="n">
        <f aca="false">SUMIFS('Historik distrikt'!P$2:P$448,'Historik distrikt'!$A$2:$A$448,$A13,'Historik distrikt'!$B$2:$B$448,$B13)</f>
        <v>26783</v>
      </c>
      <c r="N13" s="9" t="n">
        <f aca="false">C13/M13</f>
        <v>0.320763170667961</v>
      </c>
      <c r="O13" s="9" t="n">
        <f aca="false">D13/M13</f>
        <v>0.176305865661054</v>
      </c>
      <c r="P13" s="9" t="n">
        <f aca="false">E13/M13</f>
        <v>0.253892394429302</v>
      </c>
      <c r="Q13" s="9" t="n">
        <f aca="false">F13/M13</f>
        <v>0.0673188216405929</v>
      </c>
      <c r="R13" s="9" t="n">
        <f aca="false">G13/M13</f>
        <v>0.0513011985214502</v>
      </c>
      <c r="S13" s="9" t="n">
        <f aca="false">H13/M13</f>
        <v>0.0446551917260949</v>
      </c>
      <c r="T13" s="9" t="n">
        <f aca="false">I13/M13</f>
        <v>0.040473434641377</v>
      </c>
      <c r="U13" s="9" t="n">
        <f aca="false">J13/M13</f>
        <v>0.0318858977709741</v>
      </c>
      <c r="V13" s="9" t="n">
        <f aca="false">K13/M13</f>
        <v>0</v>
      </c>
      <c r="W13" s="9" t="n">
        <f aca="false">L13/M13</f>
        <v>0.013404024941194</v>
      </c>
      <c r="X13" s="8" t="n">
        <f aca="false">SUMIFS('Historik distrikt'!S$2:S$448,'Historik distrikt'!$A$2:$A$448,$A13,'Historik distrikt'!$B$2:$B$448,$B13)</f>
        <v>32424</v>
      </c>
      <c r="Y13" s="8" t="n">
        <f aca="false">SUMIFS('Historik distrikt'!R$2:R$448,'Historik distrikt'!$A$2:$A$448,$A13,'Historik distrikt'!$B$2:$B$448,$B13)</f>
        <v>27057</v>
      </c>
      <c r="Z13" s="9" t="n">
        <f aca="false">Y13/X13</f>
        <v>0.834474463360474</v>
      </c>
    </row>
    <row r="14" customFormat="false" ht="15" hidden="false" customHeight="false" outlineLevel="0" collapsed="false">
      <c r="A14" s="8" t="n">
        <v>2022</v>
      </c>
      <c r="B14" s="8" t="s">
        <v>138</v>
      </c>
      <c r="C14" s="8" t="n">
        <f aca="false">SUMIFS('Historik distrikt'!F$2:F$448,'Historik distrikt'!$A$2:$A$448,$A14,'Historik distrikt'!$B$2:$B$448,$B14)</f>
        <v>6265</v>
      </c>
      <c r="D14" s="8" t="n">
        <f aca="false">SUMIFS('Historik distrikt'!G$2:G$448,'Historik distrikt'!$A$2:$A$448,$A14,'Historik distrikt'!$B$2:$B$448,$B14)</f>
        <v>1916</v>
      </c>
      <c r="E14" s="8" t="n">
        <f aca="false">SUMIFS('Historik distrikt'!H$2:H$448,'Historik distrikt'!$A$2:$A$448,$A14,'Historik distrikt'!$B$2:$B$448,$B14)</f>
        <v>5028</v>
      </c>
      <c r="F14" s="8" t="n">
        <f aca="false">SUMIFS('Historik distrikt'!I$2:I$448,'Historik distrikt'!$A$2:$A$448,$A14,'Historik distrikt'!$B$2:$B$448,$B14)</f>
        <v>10265</v>
      </c>
      <c r="G14" s="8" t="n">
        <f aca="false">SUMIFS('Historik distrikt'!J$2:J$448,'Historik distrikt'!$A$2:$A$448,$A14,'Historik distrikt'!$B$2:$B$448,$B14)</f>
        <v>1176</v>
      </c>
      <c r="H14" s="8" t="n">
        <f aca="false">SUMIFS('Historik distrikt'!K$2:K$448,'Historik distrikt'!$A$2:$A$448,$A14,'Historik distrikt'!$B$2:$B$448,$B14)</f>
        <v>491</v>
      </c>
      <c r="I14" s="8" t="n">
        <f aca="false">SUMIFS('Historik distrikt'!L$2:L$448,'Historik distrikt'!$A$2:$A$448,$A14,'Historik distrikt'!$B$2:$B$448,$B14)</f>
        <v>329</v>
      </c>
      <c r="J14" s="8" t="n">
        <f aca="false">SUMIFS('Historik distrikt'!M$2:M$448,'Historik distrikt'!$A$2:$A$448,$A14,'Historik distrikt'!$B$2:$B$448,$B14)</f>
        <v>875</v>
      </c>
      <c r="K14" s="8" t="n">
        <f aca="false">SUMIFS('Historik distrikt'!N$2:N$448,'Historik distrikt'!$A$2:$A$448,$A14,'Historik distrikt'!$B$2:$B$448,$B14)</f>
        <v>0</v>
      </c>
      <c r="L14" s="8" t="n">
        <f aca="false">SUMIFS('Historik distrikt'!O$2:O$448,'Historik distrikt'!$A$2:$A$448,$A14,'Historik distrikt'!$B$2:$B$448,$B14)</f>
        <v>822</v>
      </c>
      <c r="M14" s="8" t="n">
        <f aca="false">SUMIFS('Historik distrikt'!P$2:P$448,'Historik distrikt'!$A$2:$A$448,$A14,'Historik distrikt'!$B$2:$B$448,$B14)</f>
        <v>27167</v>
      </c>
      <c r="N14" s="9" t="n">
        <f aca="false">C14/M14</f>
        <v>0.230610667353775</v>
      </c>
      <c r="O14" s="9" t="n">
        <f aca="false">D14/M14</f>
        <v>0.0705267420031656</v>
      </c>
      <c r="P14" s="9" t="n">
        <f aca="false">E14/M14</f>
        <v>0.185077483711856</v>
      </c>
      <c r="Q14" s="9" t="n">
        <f aca="false">F14/M14</f>
        <v>0.377848124562889</v>
      </c>
      <c r="R14" s="9" t="n">
        <f aca="false">G14/M14</f>
        <v>0.0432878124194795</v>
      </c>
      <c r="S14" s="9" t="n">
        <f aca="false">H14/M14</f>
        <v>0.0180733978724187</v>
      </c>
      <c r="T14" s="9" t="n">
        <f aca="false">I14/M14</f>
        <v>0.0121102808554496</v>
      </c>
      <c r="U14" s="9" t="n">
        <f aca="false">J14/M14</f>
        <v>0.0322081937644937</v>
      </c>
      <c r="V14" s="9" t="n">
        <f aca="false">K14/M14</f>
        <v>0</v>
      </c>
      <c r="W14" s="9" t="n">
        <f aca="false">L14/M14</f>
        <v>0.0302572974564729</v>
      </c>
      <c r="X14" s="8" t="n">
        <f aca="false">SUMIFS('Historik distrikt'!S$2:S$448,'Historik distrikt'!$A$2:$A$448,$A14,'Historik distrikt'!$B$2:$B$448,$B14)</f>
        <v>36147</v>
      </c>
      <c r="Y14" s="8" t="n">
        <f aca="false">SUMIFS('Historik distrikt'!R$2:R$448,'Historik distrikt'!$A$2:$A$448,$A14,'Historik distrikt'!$B$2:$B$448,$B14)</f>
        <v>27481</v>
      </c>
      <c r="Z14" s="9" t="n">
        <f aca="false">Y14/X14</f>
        <v>0.760256729465793</v>
      </c>
    </row>
    <row r="15" customFormat="false" ht="15" hidden="false" customHeight="false" outlineLevel="0" collapsed="false">
      <c r="A15" s="8" t="n">
        <v>2022</v>
      </c>
      <c r="B15" s="8" t="s">
        <v>139</v>
      </c>
      <c r="C15" s="8" t="n">
        <f aca="false">SUMIFS('Historik distrikt'!F$2:F$448,'Historik distrikt'!$A$2:$A$448,$A15,'Historik distrikt'!$B$2:$B$448,$B15)</f>
        <v>8790</v>
      </c>
      <c r="D15" s="8" t="n">
        <f aca="false">SUMIFS('Historik distrikt'!G$2:G$448,'Historik distrikt'!$A$2:$A$448,$A15,'Historik distrikt'!$B$2:$B$448,$B15)</f>
        <v>4503</v>
      </c>
      <c r="E15" s="8" t="n">
        <f aca="false">SUMIFS('Historik distrikt'!H$2:H$448,'Historik distrikt'!$A$2:$A$448,$A15,'Historik distrikt'!$B$2:$B$448,$B15)</f>
        <v>5637</v>
      </c>
      <c r="F15" s="8" t="n">
        <f aca="false">SUMIFS('Historik distrikt'!I$2:I$448,'Historik distrikt'!$A$2:$A$448,$A15,'Historik distrikt'!$B$2:$B$448,$B15)</f>
        <v>2793</v>
      </c>
      <c r="G15" s="8" t="n">
        <f aca="false">SUMIFS('Historik distrikt'!J$2:J$448,'Historik distrikt'!$A$2:$A$448,$A15,'Historik distrikt'!$B$2:$B$448,$B15)</f>
        <v>1483</v>
      </c>
      <c r="H15" s="8" t="n">
        <f aca="false">SUMIFS('Historik distrikt'!K$2:K$448,'Historik distrikt'!$A$2:$A$448,$A15,'Historik distrikt'!$B$2:$B$448,$B15)</f>
        <v>751</v>
      </c>
      <c r="I15" s="8" t="n">
        <f aca="false">SUMIFS('Historik distrikt'!L$2:L$448,'Historik distrikt'!$A$2:$A$448,$A15,'Historik distrikt'!$B$2:$B$448,$B15)</f>
        <v>1284</v>
      </c>
      <c r="J15" s="8" t="n">
        <f aca="false">SUMIFS('Historik distrikt'!M$2:M$448,'Historik distrikt'!$A$2:$A$448,$A15,'Historik distrikt'!$B$2:$B$448,$B15)</f>
        <v>647</v>
      </c>
      <c r="K15" s="8" t="n">
        <f aca="false">SUMIFS('Historik distrikt'!N$2:N$448,'Historik distrikt'!$A$2:$A$448,$A15,'Historik distrikt'!$B$2:$B$448,$B15)</f>
        <v>0</v>
      </c>
      <c r="L15" s="8" t="n">
        <f aca="false">SUMIFS('Historik distrikt'!O$2:O$448,'Historik distrikt'!$A$2:$A$448,$A15,'Historik distrikt'!$B$2:$B$448,$B15)</f>
        <v>850</v>
      </c>
      <c r="M15" s="8" t="n">
        <f aca="false">SUMIFS('Historik distrikt'!P$2:P$448,'Historik distrikt'!$A$2:$A$448,$A15,'Historik distrikt'!$B$2:$B$448,$B15)</f>
        <v>26738</v>
      </c>
      <c r="N15" s="9" t="n">
        <f aca="false">C15/M15</f>
        <v>0.328745605505273</v>
      </c>
      <c r="O15" s="9" t="n">
        <f aca="false">D15/M15</f>
        <v>0.168411997905603</v>
      </c>
      <c r="P15" s="9" t="n">
        <f aca="false">E15/M15</f>
        <v>0.210823547011744</v>
      </c>
      <c r="Q15" s="9" t="n">
        <f aca="false">F15/M15</f>
        <v>0.10445807465031</v>
      </c>
      <c r="R15" s="9" t="n">
        <f aca="false">G15/M15</f>
        <v>0.0554641334430399</v>
      </c>
      <c r="S15" s="9" t="n">
        <f aca="false">H15/M15</f>
        <v>0.0280873662951604</v>
      </c>
      <c r="T15" s="9" t="n">
        <f aca="false">I15/M15</f>
        <v>0.0480215423741492</v>
      </c>
      <c r="U15" s="9" t="n">
        <f aca="false">J15/M15</f>
        <v>0.0241977709626748</v>
      </c>
      <c r="V15" s="9" t="n">
        <f aca="false">K15/M15</f>
        <v>0</v>
      </c>
      <c r="W15" s="9" t="n">
        <f aca="false">L15/M15</f>
        <v>0.0317899618520458</v>
      </c>
      <c r="X15" s="8" t="n">
        <f aca="false">SUMIFS('Historik distrikt'!S$2:S$448,'Historik distrikt'!$A$2:$A$448,$A15,'Historik distrikt'!$B$2:$B$448,$B15)</f>
        <v>36147</v>
      </c>
      <c r="Y15" s="8" t="n">
        <f aca="false">SUMIFS('Historik distrikt'!R$2:R$448,'Historik distrikt'!$A$2:$A$448,$A15,'Historik distrikt'!$B$2:$B$448,$B15)</f>
        <v>27319</v>
      </c>
      <c r="Z15" s="9" t="n">
        <f aca="false">Y15/X15</f>
        <v>0.755775029739674</v>
      </c>
    </row>
    <row r="16" customFormat="false" ht="15" hidden="false" customHeight="false" outlineLevel="0" collapsed="false">
      <c r="A16" s="8" t="n">
        <v>2022</v>
      </c>
      <c r="B16" s="8" t="s">
        <v>140</v>
      </c>
      <c r="C16" s="8" t="n">
        <f aca="false">SUMIFS('Historik distrikt'!F$2:F$448,'Historik distrikt'!$A$2:$A$448,$A16,'Historik distrikt'!$B$2:$B$448,$B16)</f>
        <v>8286</v>
      </c>
      <c r="D16" s="8" t="n">
        <f aca="false">SUMIFS('Historik distrikt'!G$2:G$448,'Historik distrikt'!$A$2:$A$448,$A16,'Historik distrikt'!$B$2:$B$448,$B16)</f>
        <v>4623</v>
      </c>
      <c r="E16" s="8" t="n">
        <f aca="false">SUMIFS('Historik distrikt'!H$2:H$448,'Historik distrikt'!$A$2:$A$448,$A16,'Historik distrikt'!$B$2:$B$448,$B16)</f>
        <v>7308</v>
      </c>
      <c r="F16" s="8" t="n">
        <f aca="false">SUMIFS('Historik distrikt'!I$2:I$448,'Historik distrikt'!$A$2:$A$448,$A16,'Historik distrikt'!$B$2:$B$448,$B16)</f>
        <v>1626</v>
      </c>
      <c r="G16" s="8" t="n">
        <f aca="false">SUMIFS('Historik distrikt'!J$2:J$448,'Historik distrikt'!$A$2:$A$448,$A16,'Historik distrikt'!$B$2:$B$448,$B16)</f>
        <v>1275</v>
      </c>
      <c r="H16" s="8" t="n">
        <f aca="false">SUMIFS('Historik distrikt'!K$2:K$448,'Historik distrikt'!$A$2:$A$448,$A16,'Historik distrikt'!$B$2:$B$448,$B16)</f>
        <v>1002</v>
      </c>
      <c r="I16" s="8" t="n">
        <f aca="false">SUMIFS('Historik distrikt'!L$2:L$448,'Historik distrikt'!$A$2:$A$448,$A16,'Historik distrikt'!$B$2:$B$448,$B16)</f>
        <v>954</v>
      </c>
      <c r="J16" s="8" t="n">
        <f aca="false">SUMIFS('Historik distrikt'!M$2:M$448,'Historik distrikt'!$A$2:$A$448,$A16,'Historik distrikt'!$B$2:$B$448,$B16)</f>
        <v>828</v>
      </c>
      <c r="K16" s="8" t="n">
        <f aca="false">SUMIFS('Historik distrikt'!N$2:N$448,'Historik distrikt'!$A$2:$A$448,$A16,'Historik distrikt'!$B$2:$B$448,$B16)</f>
        <v>0</v>
      </c>
      <c r="L16" s="8" t="n">
        <f aca="false">SUMIFS('Historik distrikt'!O$2:O$448,'Historik distrikt'!$A$2:$A$448,$A16,'Historik distrikt'!$B$2:$B$448,$B16)</f>
        <v>755</v>
      </c>
      <c r="M16" s="8" t="n">
        <f aca="false">SUMIFS('Historik distrikt'!P$2:P$448,'Historik distrikt'!$A$2:$A$448,$A16,'Historik distrikt'!$B$2:$B$448,$B16)</f>
        <v>26657</v>
      </c>
      <c r="N16" s="9" t="n">
        <f aca="false">C16/M16</f>
        <v>0.310837678658514</v>
      </c>
      <c r="O16" s="9" t="n">
        <f aca="false">D16/M16</f>
        <v>0.173425366695427</v>
      </c>
      <c r="P16" s="9" t="n">
        <f aca="false">E16/M16</f>
        <v>0.274149379149942</v>
      </c>
      <c r="Q16" s="9" t="n">
        <f aca="false">F16/M16</f>
        <v>0.0609971114529017</v>
      </c>
      <c r="R16" s="9" t="n">
        <f aca="false">G16/M16</f>
        <v>0.0478298383163897</v>
      </c>
      <c r="S16" s="9" t="n">
        <f aca="false">H16/M16</f>
        <v>0.0375886258768804</v>
      </c>
      <c r="T16" s="9" t="n">
        <f aca="false">I16/M16</f>
        <v>0.0357879731402633</v>
      </c>
      <c r="U16" s="9" t="n">
        <f aca="false">J16/M16</f>
        <v>0.0310612597066437</v>
      </c>
      <c r="V16" s="9" t="n">
        <f aca="false">K16/M16</f>
        <v>0</v>
      </c>
      <c r="W16" s="9" t="n">
        <f aca="false">L16/M16</f>
        <v>0.0283227670030386</v>
      </c>
      <c r="X16" s="8" t="n">
        <f aca="false">SUMIFS('Historik distrikt'!S$2:S$448,'Historik distrikt'!$A$2:$A$448,$A16,'Historik distrikt'!$B$2:$B$448,$B16)</f>
        <v>34011</v>
      </c>
      <c r="Y16" s="8" t="n">
        <f aca="false">SUMIFS('Historik distrikt'!R$2:R$448,'Historik distrikt'!$A$2:$A$448,$A16,'Historik distrikt'!$B$2:$B$448,$B16)</f>
        <v>27032</v>
      </c>
      <c r="Z16" s="9" t="n">
        <f aca="false">Y16/X16</f>
        <v>0.794801681808827</v>
      </c>
    </row>
    <row r="17" customFormat="false" ht="15" hidden="false" customHeight="false" outlineLevel="0" collapsed="false">
      <c r="A17" s="8" t="n">
        <v>2026</v>
      </c>
      <c r="B17" s="8" t="s">
        <v>138</v>
      </c>
      <c r="C17" s="8" t="n">
        <f aca="false">SUMIFS('Historik distrikt'!F$2:F$448,'Historik distrikt'!$A$2:$A$448,$A17,'Historik distrikt'!$B$2:$B$448,$B17)</f>
        <v>7336</v>
      </c>
      <c r="D17" s="8" t="n">
        <f aca="false">SUMIFS('Historik distrikt'!G$2:G$448,'Historik distrikt'!$A$2:$A$448,$A17,'Historik distrikt'!$B$2:$B$448,$B17)</f>
        <v>1736</v>
      </c>
      <c r="E17" s="8" t="n">
        <f aca="false">SUMIFS('Historik distrikt'!H$2:H$448,'Historik distrikt'!$A$2:$A$448,$A17,'Historik distrikt'!$B$2:$B$448,$B17)</f>
        <v>4041</v>
      </c>
      <c r="F17" s="8" t="n">
        <f aca="false">SUMIFS('Historik distrikt'!I$2:I$448,'Historik distrikt'!$A$2:$A$448,$A17,'Historik distrikt'!$B$2:$B$448,$B17)</f>
        <v>11486</v>
      </c>
      <c r="G17" s="8" t="n">
        <f aca="false">SUMIFS('Historik distrikt'!J$2:J$448,'Historik distrikt'!$A$2:$A$448,$A17,'Historik distrikt'!$B$2:$B$448,$B17)</f>
        <v>1929</v>
      </c>
      <c r="H17" s="8" t="n">
        <f aca="false">SUMIFS('Historik distrikt'!K$2:K$448,'Historik distrikt'!$A$2:$A$448,$A17,'Historik distrikt'!$B$2:$B$448,$B17)</f>
        <v>357</v>
      </c>
      <c r="I17" s="8" t="n">
        <f aca="false">SUMIFS('Historik distrikt'!L$2:L$448,'Historik distrikt'!$A$2:$A$448,$A17,'Historik distrikt'!$B$2:$B$448,$B17)</f>
        <v>300</v>
      </c>
      <c r="J17" s="8" t="n">
        <f aca="false">SUMIFS('Historik distrikt'!M$2:M$448,'Historik distrikt'!$A$2:$A$448,$A17,'Historik distrikt'!$B$2:$B$448,$B17)</f>
        <v>1066</v>
      </c>
      <c r="K17" s="8" t="n">
        <f aca="false">SUMIFS('Historik distrikt'!N$2:N$448,'Historik distrikt'!$A$2:$A$448,$A17,'Historik distrikt'!$B$2:$B$448,$B17)</f>
        <v>435</v>
      </c>
      <c r="L17" s="8" t="n">
        <f aca="false">SUMIFS('Historik distrikt'!O$2:O$448,'Historik distrikt'!$A$2:$A$448,$A17,'Historik distrikt'!$B$2:$B$448,$B17)</f>
        <v>106</v>
      </c>
      <c r="M17" s="8" t="n">
        <f aca="false">SUMIFS('Historik distrikt'!P$2:P$448,'Historik distrikt'!$A$2:$A$448,$A17,'Historik distrikt'!$B$2:$B$448,$B17)</f>
        <v>28792</v>
      </c>
      <c r="N17" s="9" t="n">
        <f aca="false">C17/M17</f>
        <v>0.254792998055015</v>
      </c>
      <c r="O17" s="9" t="n">
        <f aca="false">D17/M17</f>
        <v>0.0602945262572937</v>
      </c>
      <c r="P17" s="9" t="n">
        <f aca="false">E17/M17</f>
        <v>0.140351486524034</v>
      </c>
      <c r="Q17" s="9" t="n">
        <f aca="false">F17/M17</f>
        <v>0.398930258405113</v>
      </c>
      <c r="R17" s="9" t="n">
        <f aca="false">G17/M17</f>
        <v>0.0669977771603223</v>
      </c>
      <c r="S17" s="9" t="n">
        <f aca="false">H17/M17</f>
        <v>0.0123992775771048</v>
      </c>
      <c r="T17" s="9" t="n">
        <f aca="false">I17/M17</f>
        <v>0.0104195609891637</v>
      </c>
      <c r="U17" s="9" t="n">
        <f aca="false">J17/M17</f>
        <v>0.0370241733814949</v>
      </c>
      <c r="V17" s="9" t="n">
        <f aca="false">K17/M17</f>
        <v>0.0151083634342873</v>
      </c>
      <c r="W17" s="9" t="n">
        <f aca="false">L17/M17</f>
        <v>0.00368157821617116</v>
      </c>
      <c r="X17" s="8" t="n">
        <v>37352</v>
      </c>
      <c r="Y17" s="8"/>
      <c r="Z17" s="9" t="n">
        <v>0.78</v>
      </c>
    </row>
    <row r="18" customFormat="false" ht="15" hidden="false" customHeight="false" outlineLevel="0" collapsed="false">
      <c r="A18" s="8" t="n">
        <v>2026</v>
      </c>
      <c r="B18" s="8" t="s">
        <v>139</v>
      </c>
      <c r="C18" s="8" t="n">
        <f aca="false">SUMIFS('Historik distrikt'!F$2:F$448,'Historik distrikt'!$A$2:$A$448,$A18,'Historik distrikt'!$B$2:$B$448,$B18)</f>
        <v>9403</v>
      </c>
      <c r="D18" s="8" t="n">
        <f aca="false">SUMIFS('Historik distrikt'!G$2:G$448,'Historik distrikt'!$A$2:$A$448,$A18,'Historik distrikt'!$B$2:$B$448,$B18)</f>
        <v>5049</v>
      </c>
      <c r="E18" s="8" t="n">
        <f aca="false">SUMIFS('Historik distrikt'!H$2:H$448,'Historik distrikt'!$A$2:$A$448,$A18,'Historik distrikt'!$B$2:$B$448,$B18)</f>
        <v>5137</v>
      </c>
      <c r="F18" s="8" t="n">
        <f aca="false">SUMIFS('Historik distrikt'!I$2:I$448,'Historik distrikt'!$A$2:$A$448,$A18,'Historik distrikt'!$B$2:$B$448,$B18)</f>
        <v>3146</v>
      </c>
      <c r="G18" s="8" t="n">
        <f aca="false">SUMIFS('Historik distrikt'!J$2:J$448,'Historik distrikt'!$A$2:$A$448,$A18,'Historik distrikt'!$B$2:$B$448,$B18)</f>
        <v>2563</v>
      </c>
      <c r="H18" s="8" t="n">
        <f aca="false">SUMIFS('Historik distrikt'!K$2:K$448,'Historik distrikt'!$A$2:$A$448,$A18,'Historik distrikt'!$B$2:$B$448,$B18)</f>
        <v>686</v>
      </c>
      <c r="I18" s="8" t="n">
        <f aca="false">SUMIFS('Historik distrikt'!L$2:L$448,'Historik distrikt'!$A$2:$A$448,$A18,'Historik distrikt'!$B$2:$B$448,$B18)</f>
        <v>1341</v>
      </c>
      <c r="J18" s="8" t="n">
        <f aca="false">SUMIFS('Historik distrikt'!M$2:M$448,'Historik distrikt'!$A$2:$A$448,$A18,'Historik distrikt'!$B$2:$B$448,$B18)</f>
        <v>934</v>
      </c>
      <c r="K18" s="8" t="n">
        <f aca="false">SUMIFS('Historik distrikt'!N$2:N$448,'Historik distrikt'!$A$2:$A$448,$A18,'Historik distrikt'!$B$2:$B$448,$B18)</f>
        <v>0</v>
      </c>
      <c r="L18" s="8" t="n">
        <f aca="false">SUMIFS('Historik distrikt'!O$2:O$448,'Historik distrikt'!$A$2:$A$448,$A18,'Historik distrikt'!$B$2:$B$448,$B18)</f>
        <v>198</v>
      </c>
      <c r="M18" s="8" t="n">
        <f aca="false">SUMIFS('Historik distrikt'!P$2:P$448,'Historik distrikt'!$A$2:$A$448,$A18,'Historik distrikt'!$B$2:$B$448,$B18)</f>
        <v>28457</v>
      </c>
      <c r="N18" s="9" t="n">
        <f aca="false">C18/M18</f>
        <v>0.330428365604245</v>
      </c>
      <c r="O18" s="9" t="n">
        <f aca="false">D18/M18</f>
        <v>0.177425589485891</v>
      </c>
      <c r="P18" s="9" t="n">
        <f aca="false">E18/M18</f>
        <v>0.180517974487824</v>
      </c>
      <c r="Q18" s="9" t="n">
        <f aca="false">F18/M18</f>
        <v>0.110552763819095</v>
      </c>
      <c r="R18" s="9" t="n">
        <f aca="false">G18/M18</f>
        <v>0.0900657131812911</v>
      </c>
      <c r="S18" s="9" t="n">
        <f aca="false">H18/M18</f>
        <v>0.024106546719612</v>
      </c>
      <c r="T18" s="9" t="n">
        <f aca="false">I18/M18</f>
        <v>0.047123730540816</v>
      </c>
      <c r="U18" s="9" t="n">
        <f aca="false">J18/M18</f>
        <v>0.032821449906877</v>
      </c>
      <c r="V18" s="9" t="n">
        <f aca="false">K18/M18</f>
        <v>0</v>
      </c>
      <c r="W18" s="9" t="n">
        <f aca="false">L18/M18</f>
        <v>0.00695786625434867</v>
      </c>
      <c r="X18" s="8" t="n">
        <v>37352</v>
      </c>
      <c r="Y18" s="8"/>
      <c r="Z18" s="9" t="n">
        <v>0.7755</v>
      </c>
    </row>
    <row r="19" customFormat="false" ht="15" hidden="false" customHeight="false" outlineLevel="0" collapsed="false">
      <c r="A19" s="8" t="n">
        <v>2026</v>
      </c>
      <c r="B19" s="8" t="s">
        <v>140</v>
      </c>
      <c r="C19" s="8" t="n">
        <f aca="false">SUMIFS('Historik distrikt'!F$2:F$448,'Historik distrikt'!$A$2:$A$448,$A19,'Historik distrikt'!$B$2:$B$448,$B19)</f>
        <v>8559</v>
      </c>
      <c r="D19" s="8" t="n">
        <f aca="false">SUMIFS('Historik distrikt'!G$2:G$448,'Historik distrikt'!$A$2:$A$448,$A19,'Historik distrikt'!$B$2:$B$448,$B19)</f>
        <v>4845</v>
      </c>
      <c r="E19" s="8" t="n">
        <f aca="false">SUMIFS('Historik distrikt'!H$2:H$448,'Historik distrikt'!$A$2:$A$448,$A19,'Historik distrikt'!$B$2:$B$448,$B19)</f>
        <v>6466</v>
      </c>
      <c r="F19" s="8" t="n">
        <f aca="false">SUMIFS('Historik distrikt'!I$2:I$448,'Historik distrikt'!$A$2:$A$448,$A19,'Historik distrikt'!$B$2:$B$448,$B19)</f>
        <v>2394</v>
      </c>
      <c r="G19" s="8" t="n">
        <f aca="false">SUMIFS('Historik distrikt'!J$2:J$448,'Historik distrikt'!$A$2:$A$448,$A19,'Historik distrikt'!$B$2:$B$448,$B19)</f>
        <v>2454</v>
      </c>
      <c r="H19" s="8" t="n">
        <f aca="false">SUMIFS('Historik distrikt'!K$2:K$448,'Historik distrikt'!$A$2:$A$448,$A19,'Historik distrikt'!$B$2:$B$448,$B19)</f>
        <v>1098</v>
      </c>
      <c r="I19" s="8" t="n">
        <f aca="false">SUMIFS('Historik distrikt'!L$2:L$448,'Historik distrikt'!$A$2:$A$448,$A19,'Historik distrikt'!$B$2:$B$448,$B19)</f>
        <v>1099</v>
      </c>
      <c r="J19" s="8" t="n">
        <f aca="false">SUMIFS('Historik distrikt'!M$2:M$448,'Historik distrikt'!$A$2:$A$448,$A19,'Historik distrikt'!$B$2:$B$448,$B19)</f>
        <v>1041</v>
      </c>
      <c r="K19" s="8" t="n">
        <f aca="false">SUMIFS('Historik distrikt'!N$2:N$448,'Historik distrikt'!$A$2:$A$448,$A19,'Historik distrikt'!$B$2:$B$448,$B19)</f>
        <v>0</v>
      </c>
      <c r="L19" s="8" t="n">
        <f aca="false">SUMIFS('Historik distrikt'!O$2:O$448,'Historik distrikt'!$A$2:$A$448,$A19,'Historik distrikt'!$B$2:$B$448,$B19)</f>
        <v>343</v>
      </c>
      <c r="M19" s="8" t="n">
        <f aca="false">SUMIFS('Historik distrikt'!P$2:P$448,'Historik distrikt'!$A$2:$A$448,$A19,'Historik distrikt'!$B$2:$B$448,$B19)</f>
        <v>28299</v>
      </c>
      <c r="N19" s="9" t="n">
        <f aca="false">C19/M19</f>
        <v>0.302448849782678</v>
      </c>
      <c r="O19" s="9" t="n">
        <f aca="false">D19/M19</f>
        <v>0.171207463161242</v>
      </c>
      <c r="P19" s="9" t="n">
        <f aca="false">E19/M19</f>
        <v>0.228488639174529</v>
      </c>
      <c r="Q19" s="9" t="n">
        <f aca="false">F19/M19</f>
        <v>0.0845966288561433</v>
      </c>
      <c r="R19" s="9" t="n">
        <f aca="false">G19/M19</f>
        <v>0.0867168451182021</v>
      </c>
      <c r="S19" s="9" t="n">
        <f aca="false">H19/M19</f>
        <v>0.0387999575956748</v>
      </c>
      <c r="T19" s="9" t="n">
        <f aca="false">I19/M19</f>
        <v>0.0388352945333757</v>
      </c>
      <c r="U19" s="9" t="n">
        <f aca="false">J19/M19</f>
        <v>0.036785752146719</v>
      </c>
      <c r="V19" s="9" t="n">
        <f aca="false">K19/M19</f>
        <v>0</v>
      </c>
      <c r="W19" s="9" t="n">
        <f aca="false">L19/M19</f>
        <v>0.0121205696314357</v>
      </c>
      <c r="X19" s="8" t="n">
        <v>35507</v>
      </c>
      <c r="Y19" s="8"/>
      <c r="Z19" s="9" t="n">
        <v>0.8051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" hidden="false" customHeight="false" outlineLevel="0" collapsed="false">
      <c r="A21" s="8" t="s">
        <v>141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26" min="3" style="1" width="9"/>
  </cols>
  <sheetData>
    <row r="1" customFormat="false" ht="34.5" hidden="false" customHeight="true" outlineLevel="0" collapsed="false">
      <c r="A1" s="10" t="s">
        <v>24</v>
      </c>
      <c r="B1" s="10" t="s">
        <v>25</v>
      </c>
      <c r="C1" s="10" t="s">
        <v>16</v>
      </c>
      <c r="D1" s="10" t="s">
        <v>142</v>
      </c>
      <c r="E1" s="10" t="s">
        <v>143</v>
      </c>
      <c r="F1" s="10" t="s">
        <v>102</v>
      </c>
      <c r="G1" s="10" t="s">
        <v>99</v>
      </c>
      <c r="H1" s="10" t="s">
        <v>100</v>
      </c>
      <c r="I1" s="10" t="s">
        <v>103</v>
      </c>
      <c r="J1" s="10" t="s">
        <v>101</v>
      </c>
      <c r="K1" s="10" t="s">
        <v>106</v>
      </c>
      <c r="L1" s="10" t="s">
        <v>144</v>
      </c>
      <c r="M1" s="10" t="s">
        <v>105</v>
      </c>
      <c r="N1" s="10" t="s">
        <v>104</v>
      </c>
      <c r="O1" s="10" t="s">
        <v>12</v>
      </c>
      <c r="P1" s="10" t="s">
        <v>145</v>
      </c>
      <c r="Q1" s="10" t="s">
        <v>129</v>
      </c>
      <c r="R1" s="10" t="s">
        <v>126</v>
      </c>
      <c r="S1" s="10" t="s">
        <v>128</v>
      </c>
      <c r="T1" s="10" t="s">
        <v>130</v>
      </c>
      <c r="U1" s="10" t="s">
        <v>127</v>
      </c>
      <c r="V1" s="10" t="s">
        <v>133</v>
      </c>
      <c r="W1" s="10" t="s">
        <v>134</v>
      </c>
      <c r="X1" s="10" t="s">
        <v>131</v>
      </c>
      <c r="Y1" s="10" t="s">
        <v>132</v>
      </c>
      <c r="Z1" s="10" t="s">
        <v>135</v>
      </c>
    </row>
    <row r="2" customFormat="false" ht="15" hidden="false" customHeight="true" outlineLevel="0" collapsed="false">
      <c r="A2" s="4" t="s">
        <v>44</v>
      </c>
      <c r="B2" s="4" t="s">
        <v>45</v>
      </c>
      <c r="C2" s="4" t="n">
        <v>1544</v>
      </c>
      <c r="D2" s="4" t="n">
        <v>75.71</v>
      </c>
      <c r="E2" s="4" t="n">
        <v>80.38</v>
      </c>
      <c r="F2" s="4" t="n">
        <v>541</v>
      </c>
      <c r="G2" s="4" t="n">
        <v>249</v>
      </c>
      <c r="H2" s="4" t="n">
        <v>189</v>
      </c>
      <c r="I2" s="4" t="n">
        <v>57</v>
      </c>
      <c r="J2" s="4" t="n">
        <v>56</v>
      </c>
      <c r="K2" s="4" t="n">
        <v>29</v>
      </c>
      <c r="L2" s="4" t="n">
        <v>12</v>
      </c>
      <c r="M2" s="4" t="n">
        <v>13</v>
      </c>
      <c r="N2" s="4" t="n">
        <v>13</v>
      </c>
      <c r="O2" s="4" t="n">
        <v>2</v>
      </c>
      <c r="P2" s="4" t="n">
        <f aca="false">SUM(F2:O2)</f>
        <v>1161</v>
      </c>
      <c r="Q2" s="11" t="n">
        <f aca="false">IFERROR(F2/P2,0)</f>
        <v>0.465977605512489</v>
      </c>
      <c r="R2" s="11" t="n">
        <f aca="false">IFERROR(G2/P2,0)</f>
        <v>0.214470284237726</v>
      </c>
      <c r="S2" s="11" t="n">
        <f aca="false">IFERROR(H2/P2,0)</f>
        <v>0.162790697674419</v>
      </c>
      <c r="T2" s="11" t="n">
        <f aca="false">IFERROR(I2/P2,0)</f>
        <v>0.0490956072351421</v>
      </c>
      <c r="U2" s="11" t="n">
        <f aca="false">IFERROR(J2/P2,0)</f>
        <v>0.0482342807924203</v>
      </c>
      <c r="V2" s="11" t="n">
        <f aca="false">IFERROR(K2/P2,0)</f>
        <v>0.024978466838932</v>
      </c>
      <c r="W2" s="11" t="n">
        <f aca="false">IFERROR(L2/P2,0)</f>
        <v>0.0103359173126615</v>
      </c>
      <c r="X2" s="11" t="n">
        <f aca="false">IFERROR(M2/P2,0)</f>
        <v>0.0111972437553833</v>
      </c>
      <c r="Y2" s="11" t="n">
        <f aca="false">IFERROR(N2/P2,0)</f>
        <v>0.0111972437553833</v>
      </c>
      <c r="Z2" s="11" t="n">
        <f aca="false">IFERROR(O2/P2,0)</f>
        <v>0.00172265288544358</v>
      </c>
    </row>
    <row r="3" customFormat="false" ht="15" hidden="false" customHeight="true" outlineLevel="0" collapsed="false">
      <c r="A3" s="4" t="s">
        <v>46</v>
      </c>
      <c r="B3" s="4" t="s">
        <v>47</v>
      </c>
      <c r="C3" s="4" t="n">
        <v>1518</v>
      </c>
      <c r="D3" s="4" t="n">
        <v>75.43</v>
      </c>
      <c r="E3" s="4" t="n">
        <v>71.04</v>
      </c>
      <c r="F3" s="4" t="n">
        <v>433</v>
      </c>
      <c r="G3" s="4" t="n">
        <v>291</v>
      </c>
      <c r="H3" s="4" t="n">
        <v>171</v>
      </c>
      <c r="I3" s="4" t="n">
        <v>96</v>
      </c>
      <c r="J3" s="4" t="n">
        <v>47</v>
      </c>
      <c r="K3" s="4" t="n">
        <v>51</v>
      </c>
      <c r="L3" s="4" t="n">
        <v>25</v>
      </c>
      <c r="M3" s="4" t="n">
        <v>6</v>
      </c>
      <c r="N3" s="4" t="n">
        <v>8</v>
      </c>
      <c r="O3" s="4" t="n">
        <v>2</v>
      </c>
      <c r="P3" s="4" t="n">
        <f aca="false">SUM(F3:O3)</f>
        <v>1130</v>
      </c>
      <c r="Q3" s="11" t="n">
        <f aca="false">IFERROR(F3/P3,0)</f>
        <v>0.383185840707965</v>
      </c>
      <c r="R3" s="11" t="n">
        <f aca="false">IFERROR(G3/P3,0)</f>
        <v>0.257522123893805</v>
      </c>
      <c r="S3" s="11" t="n">
        <f aca="false">IFERROR(H3/P3,0)</f>
        <v>0.151327433628319</v>
      </c>
      <c r="T3" s="11" t="n">
        <f aca="false">IFERROR(I3/P3,0)</f>
        <v>0.0849557522123894</v>
      </c>
      <c r="U3" s="11" t="n">
        <f aca="false">IFERROR(J3/P3,0)</f>
        <v>0.0415929203539823</v>
      </c>
      <c r="V3" s="11" t="n">
        <f aca="false">IFERROR(K3/P3,0)</f>
        <v>0.0451327433628319</v>
      </c>
      <c r="W3" s="11" t="n">
        <f aca="false">IFERROR(L3/P3,0)</f>
        <v>0.0221238938053097</v>
      </c>
      <c r="X3" s="11" t="n">
        <f aca="false">IFERROR(M3/P3,0)</f>
        <v>0.00530973451327434</v>
      </c>
      <c r="Y3" s="11" t="n">
        <f aca="false">IFERROR(N3/P3,0)</f>
        <v>0.00707964601769912</v>
      </c>
      <c r="Z3" s="11" t="n">
        <f aca="false">IFERROR(O3/P3,0)</f>
        <v>0.00176991150442478</v>
      </c>
    </row>
    <row r="4" customFormat="false" ht="15" hidden="false" customHeight="true" outlineLevel="0" collapsed="false">
      <c r="A4" s="4" t="s">
        <v>48</v>
      </c>
      <c r="B4" s="4" t="s">
        <v>49</v>
      </c>
      <c r="C4" s="4" t="n">
        <v>1754</v>
      </c>
      <c r="D4" s="4" t="n">
        <v>67.1</v>
      </c>
      <c r="E4" s="4" t="n">
        <v>63.41</v>
      </c>
      <c r="F4" s="4" t="n">
        <v>280</v>
      </c>
      <c r="G4" s="4" t="n">
        <v>433</v>
      </c>
      <c r="H4" s="4" t="n">
        <v>155</v>
      </c>
      <c r="I4" s="4" t="n">
        <v>140</v>
      </c>
      <c r="J4" s="4" t="n">
        <v>50</v>
      </c>
      <c r="K4" s="4" t="n">
        <v>51</v>
      </c>
      <c r="L4" s="4" t="n">
        <v>13</v>
      </c>
      <c r="M4" s="4" t="n">
        <v>12</v>
      </c>
      <c r="N4" s="4" t="n">
        <v>15</v>
      </c>
      <c r="O4" s="4" t="n">
        <v>8</v>
      </c>
      <c r="P4" s="4" t="n">
        <f aca="false">SUM(F4:O4)</f>
        <v>1157</v>
      </c>
      <c r="Q4" s="11" t="n">
        <f aca="false">IFERROR(F4/P4,0)</f>
        <v>0.242005185825411</v>
      </c>
      <c r="R4" s="11" t="n">
        <f aca="false">IFERROR(G4/P4,0)</f>
        <v>0.374243733794296</v>
      </c>
      <c r="S4" s="11" t="n">
        <f aca="false">IFERROR(H4/P4,0)</f>
        <v>0.133967156439067</v>
      </c>
      <c r="T4" s="11" t="n">
        <f aca="false">IFERROR(I4/P4,0)</f>
        <v>0.121002592912705</v>
      </c>
      <c r="U4" s="11" t="n">
        <f aca="false">IFERROR(J4/P4,0)</f>
        <v>0.0432152117545376</v>
      </c>
      <c r="V4" s="11" t="n">
        <f aca="false">IFERROR(K4/P4,0)</f>
        <v>0.0440795159896284</v>
      </c>
      <c r="W4" s="11" t="n">
        <f aca="false">IFERROR(L4/P4,0)</f>
        <v>0.0112359550561798</v>
      </c>
      <c r="X4" s="11" t="n">
        <f aca="false">IFERROR(M4/P4,0)</f>
        <v>0.010371650821089</v>
      </c>
      <c r="Y4" s="11" t="n">
        <f aca="false">IFERROR(N4/P4,0)</f>
        <v>0.0129645635263613</v>
      </c>
      <c r="Z4" s="11" t="n">
        <f aca="false">IFERROR(O4/P4,0)</f>
        <v>0.00691443388072602</v>
      </c>
    </row>
    <row r="5" customFormat="false" ht="15" hidden="false" customHeight="true" outlineLevel="0" collapsed="false">
      <c r="A5" s="4" t="s">
        <v>50</v>
      </c>
      <c r="B5" s="4" t="s">
        <v>51</v>
      </c>
      <c r="C5" s="4" t="n">
        <v>1717</v>
      </c>
      <c r="D5" s="4" t="n">
        <v>68.96</v>
      </c>
      <c r="E5" s="4" t="n">
        <v>62.6</v>
      </c>
      <c r="F5" s="4" t="n">
        <v>411</v>
      </c>
      <c r="G5" s="4" t="n">
        <v>322</v>
      </c>
      <c r="H5" s="4" t="n">
        <v>183</v>
      </c>
      <c r="I5" s="4" t="n">
        <v>101</v>
      </c>
      <c r="J5" s="4" t="n">
        <v>58</v>
      </c>
      <c r="K5" s="4" t="n">
        <v>50</v>
      </c>
      <c r="L5" s="4" t="n">
        <v>9</v>
      </c>
      <c r="M5" s="4" t="n">
        <v>12</v>
      </c>
      <c r="N5" s="4" t="n">
        <v>16</v>
      </c>
      <c r="O5" s="4" t="n">
        <v>1</v>
      </c>
      <c r="P5" s="4" t="n">
        <f aca="false">SUM(F5:O5)</f>
        <v>1163</v>
      </c>
      <c r="Q5" s="11" t="n">
        <f aca="false">IFERROR(F5/P5,0)</f>
        <v>0.353396388650043</v>
      </c>
      <c r="R5" s="11" t="n">
        <f aca="false">IFERROR(G5/P5,0)</f>
        <v>0.276870163370593</v>
      </c>
      <c r="S5" s="11" t="n">
        <f aca="false">IFERROR(H5/P5,0)</f>
        <v>0.157351676698194</v>
      </c>
      <c r="T5" s="11" t="n">
        <f aca="false">IFERROR(I5/P5,0)</f>
        <v>0.0868443680137575</v>
      </c>
      <c r="U5" s="11" t="n">
        <f aca="false">IFERROR(J5/P5,0)</f>
        <v>0.0498710232158212</v>
      </c>
      <c r="V5" s="11" t="n">
        <f aca="false">IFERROR(K5/P5,0)</f>
        <v>0.0429922613929493</v>
      </c>
      <c r="W5" s="11" t="n">
        <f aca="false">IFERROR(L5/P5,0)</f>
        <v>0.00773860705073087</v>
      </c>
      <c r="X5" s="11" t="n">
        <f aca="false">IFERROR(M5/P5,0)</f>
        <v>0.0103181427343078</v>
      </c>
      <c r="Y5" s="11" t="n">
        <f aca="false">IFERROR(N5/P5,0)</f>
        <v>0.0137575236457438</v>
      </c>
      <c r="Z5" s="11" t="n">
        <f aca="false">IFERROR(O5/P5,0)</f>
        <v>0.000859845227858985</v>
      </c>
    </row>
    <row r="6" customFormat="false" ht="15" hidden="false" customHeight="true" outlineLevel="0" collapsed="false">
      <c r="A6" s="4" t="s">
        <v>52</v>
      </c>
      <c r="B6" s="4" t="s">
        <v>53</v>
      </c>
      <c r="C6" s="4" t="n">
        <v>1649</v>
      </c>
      <c r="D6" s="4" t="n">
        <v>61.67</v>
      </c>
      <c r="E6" s="4" t="n">
        <v>54.74</v>
      </c>
      <c r="F6" s="4" t="n">
        <v>152</v>
      </c>
      <c r="G6" s="4" t="n">
        <v>413</v>
      </c>
      <c r="H6" s="4" t="n">
        <v>107</v>
      </c>
      <c r="I6" s="4" t="n">
        <v>182</v>
      </c>
      <c r="J6" s="4" t="n">
        <v>52</v>
      </c>
      <c r="K6" s="4" t="n">
        <v>47</v>
      </c>
      <c r="L6" s="4" t="n">
        <v>34</v>
      </c>
      <c r="M6" s="4" t="n">
        <v>6</v>
      </c>
      <c r="N6" s="4" t="n">
        <v>7</v>
      </c>
      <c r="O6" s="4" t="n">
        <v>5</v>
      </c>
      <c r="P6" s="4" t="n">
        <f aca="false">SUM(F6:O6)</f>
        <v>1005</v>
      </c>
      <c r="Q6" s="11" t="n">
        <f aca="false">IFERROR(F6/P6,0)</f>
        <v>0.151243781094527</v>
      </c>
      <c r="R6" s="11" t="n">
        <f aca="false">IFERROR(G6/P6,0)</f>
        <v>0.410945273631841</v>
      </c>
      <c r="S6" s="11" t="n">
        <f aca="false">IFERROR(H6/P6,0)</f>
        <v>0.106467661691542</v>
      </c>
      <c r="T6" s="11" t="n">
        <f aca="false">IFERROR(I6/P6,0)</f>
        <v>0.181094527363184</v>
      </c>
      <c r="U6" s="11" t="n">
        <f aca="false">IFERROR(J6/P6,0)</f>
        <v>0.0517412935323383</v>
      </c>
      <c r="V6" s="11" t="n">
        <f aca="false">IFERROR(K6/P6,0)</f>
        <v>0.0467661691542289</v>
      </c>
      <c r="W6" s="11" t="n">
        <f aca="false">IFERROR(L6/P6,0)</f>
        <v>0.0338308457711443</v>
      </c>
      <c r="X6" s="11" t="n">
        <f aca="false">IFERROR(M6/P6,0)</f>
        <v>0.00597014925373134</v>
      </c>
      <c r="Y6" s="11" t="n">
        <f aca="false">IFERROR(N6/P6,0)</f>
        <v>0.00696517412935323</v>
      </c>
      <c r="Z6" s="11" t="n">
        <f aca="false">IFERROR(O6/P6,0)</f>
        <v>0.00497512437810945</v>
      </c>
    </row>
    <row r="7" customFormat="false" ht="15" hidden="false" customHeight="true" outlineLevel="0" collapsed="false">
      <c r="A7" s="4" t="s">
        <v>54</v>
      </c>
      <c r="B7" s="4" t="s">
        <v>55</v>
      </c>
      <c r="C7" s="4" t="n">
        <v>1795</v>
      </c>
      <c r="D7" s="4" t="n">
        <v>59.67</v>
      </c>
      <c r="E7" s="4" t="n">
        <v>55.54</v>
      </c>
      <c r="F7" s="4" t="n">
        <v>266</v>
      </c>
      <c r="G7" s="4" t="n">
        <v>391</v>
      </c>
      <c r="H7" s="4" t="n">
        <v>117</v>
      </c>
      <c r="I7" s="4" t="n">
        <v>140</v>
      </c>
      <c r="J7" s="4" t="n">
        <v>31</v>
      </c>
      <c r="K7" s="4" t="n">
        <v>49</v>
      </c>
      <c r="L7" s="4" t="n">
        <v>37</v>
      </c>
      <c r="M7" s="4" t="n">
        <v>5</v>
      </c>
      <c r="N7" s="4" t="n">
        <v>15</v>
      </c>
      <c r="O7" s="4" t="n">
        <v>8</v>
      </c>
      <c r="P7" s="4" t="n">
        <f aca="false">SUM(F7:O7)</f>
        <v>1059</v>
      </c>
      <c r="Q7" s="11" t="n">
        <f aca="false">IFERROR(F7/P7,0)</f>
        <v>0.251180358829084</v>
      </c>
      <c r="R7" s="11" t="n">
        <f aca="false">IFERROR(G7/P7,0)</f>
        <v>0.369216241737488</v>
      </c>
      <c r="S7" s="11" t="n">
        <f aca="false">IFERROR(H7/P7,0)</f>
        <v>0.110481586402266</v>
      </c>
      <c r="T7" s="11" t="n">
        <f aca="false">IFERROR(I7/P7,0)</f>
        <v>0.132200188857413</v>
      </c>
      <c r="U7" s="11" t="n">
        <f aca="false">IFERROR(J7/P7,0)</f>
        <v>0.0292728989612842</v>
      </c>
      <c r="V7" s="11" t="n">
        <f aca="false">IFERROR(K7/P7,0)</f>
        <v>0.0462700661000944</v>
      </c>
      <c r="W7" s="11" t="n">
        <f aca="false">IFERROR(L7/P7,0)</f>
        <v>0.0349386213408876</v>
      </c>
      <c r="X7" s="11" t="n">
        <f aca="false">IFERROR(M7/P7,0)</f>
        <v>0.00472143531633617</v>
      </c>
      <c r="Y7" s="11" t="n">
        <f aca="false">IFERROR(N7/P7,0)</f>
        <v>0.0141643059490085</v>
      </c>
      <c r="Z7" s="11" t="n">
        <f aca="false">IFERROR(O7/P7,0)</f>
        <v>0.00755429650613787</v>
      </c>
    </row>
    <row r="8" customFormat="false" ht="15" hidden="false" customHeight="true" outlineLevel="0" collapsed="false">
      <c r="A8" s="4" t="s">
        <v>56</v>
      </c>
      <c r="B8" s="4" t="s">
        <v>57</v>
      </c>
      <c r="C8" s="4" t="n">
        <v>1138</v>
      </c>
      <c r="D8" s="4" t="n">
        <v>76.8</v>
      </c>
      <c r="E8" s="4" t="n">
        <v>75.9</v>
      </c>
      <c r="F8" s="4" t="n">
        <v>397</v>
      </c>
      <c r="G8" s="4" t="n">
        <v>210</v>
      </c>
      <c r="H8" s="4" t="n">
        <v>113</v>
      </c>
      <c r="I8" s="4" t="n">
        <v>48</v>
      </c>
      <c r="J8" s="4" t="n">
        <v>28</v>
      </c>
      <c r="K8" s="4" t="n">
        <v>38</v>
      </c>
      <c r="L8" s="4" t="n">
        <v>3</v>
      </c>
      <c r="M8" s="4" t="n">
        <v>16</v>
      </c>
      <c r="N8" s="4" t="n">
        <v>9</v>
      </c>
      <c r="O8" s="4" t="n">
        <v>2</v>
      </c>
      <c r="P8" s="4" t="n">
        <f aca="false">SUM(F8:O8)</f>
        <v>864</v>
      </c>
      <c r="Q8" s="11" t="n">
        <f aca="false">IFERROR(F8/P8,0)</f>
        <v>0.459490740740741</v>
      </c>
      <c r="R8" s="11" t="n">
        <f aca="false">IFERROR(G8/P8,0)</f>
        <v>0.243055555555556</v>
      </c>
      <c r="S8" s="11" t="n">
        <f aca="false">IFERROR(H8/P8,0)</f>
        <v>0.130787037037037</v>
      </c>
      <c r="T8" s="11" t="n">
        <f aca="false">IFERROR(I8/P8,0)</f>
        <v>0.0555555555555556</v>
      </c>
      <c r="U8" s="11" t="n">
        <f aca="false">IFERROR(J8/P8,0)</f>
        <v>0.0324074074074074</v>
      </c>
      <c r="V8" s="11" t="n">
        <f aca="false">IFERROR(K8/P8,0)</f>
        <v>0.0439814814814815</v>
      </c>
      <c r="W8" s="11" t="n">
        <f aca="false">IFERROR(L8/P8,0)</f>
        <v>0.00347222222222222</v>
      </c>
      <c r="X8" s="11" t="n">
        <f aca="false">IFERROR(M8/P8,0)</f>
        <v>0.0185185185185185</v>
      </c>
      <c r="Y8" s="11" t="n">
        <f aca="false">IFERROR(N8/P8,0)</f>
        <v>0.0104166666666667</v>
      </c>
      <c r="Z8" s="11" t="n">
        <f aca="false">IFERROR(O8/P8,0)</f>
        <v>0.00231481481481481</v>
      </c>
    </row>
    <row r="9" customFormat="false" ht="15" hidden="false" customHeight="true" outlineLevel="0" collapsed="false">
      <c r="A9" s="4" t="s">
        <v>58</v>
      </c>
      <c r="B9" s="4" t="s">
        <v>59</v>
      </c>
      <c r="C9" s="4" t="n">
        <v>1725</v>
      </c>
      <c r="D9" s="4" t="n">
        <v>66.14</v>
      </c>
      <c r="E9" s="4" t="n">
        <v>62.49</v>
      </c>
      <c r="F9" s="4" t="n">
        <v>326</v>
      </c>
      <c r="G9" s="4" t="n">
        <v>369</v>
      </c>
      <c r="H9" s="4" t="n">
        <v>188</v>
      </c>
      <c r="I9" s="4" t="n">
        <v>91</v>
      </c>
      <c r="J9" s="4" t="n">
        <v>42</v>
      </c>
      <c r="K9" s="4" t="n">
        <v>50</v>
      </c>
      <c r="L9" s="4" t="n">
        <v>17</v>
      </c>
      <c r="M9" s="4" t="n">
        <v>15</v>
      </c>
      <c r="N9" s="4" t="n">
        <v>16</v>
      </c>
      <c r="O9" s="4" t="n">
        <v>4</v>
      </c>
      <c r="P9" s="4" t="n">
        <f aca="false">SUM(F9:O9)</f>
        <v>1118</v>
      </c>
      <c r="Q9" s="11" t="n">
        <f aca="false">IFERROR(F9/P9,0)</f>
        <v>0.291592128801431</v>
      </c>
      <c r="R9" s="11" t="n">
        <f aca="false">IFERROR(G9/P9,0)</f>
        <v>0.33005366726297</v>
      </c>
      <c r="S9" s="11" t="n">
        <f aca="false">IFERROR(H9/P9,0)</f>
        <v>0.168157423971377</v>
      </c>
      <c r="T9" s="11" t="n">
        <f aca="false">IFERROR(I9/P9,0)</f>
        <v>0.0813953488372093</v>
      </c>
      <c r="U9" s="11" t="n">
        <f aca="false">IFERROR(J9/P9,0)</f>
        <v>0.037567084078712</v>
      </c>
      <c r="V9" s="11" t="n">
        <f aca="false">IFERROR(K9/P9,0)</f>
        <v>0.0447227191413238</v>
      </c>
      <c r="W9" s="11" t="n">
        <f aca="false">IFERROR(L9/P9,0)</f>
        <v>0.0152057245080501</v>
      </c>
      <c r="X9" s="11" t="n">
        <f aca="false">IFERROR(M9/P9,0)</f>
        <v>0.0134168157423971</v>
      </c>
      <c r="Y9" s="11" t="n">
        <f aca="false">IFERROR(N9/P9,0)</f>
        <v>0.0143112701252236</v>
      </c>
      <c r="Z9" s="11" t="n">
        <f aca="false">IFERROR(O9/P9,0)</f>
        <v>0.0035778175313059</v>
      </c>
    </row>
    <row r="10" customFormat="false" ht="15" hidden="false" customHeight="true" outlineLevel="0" collapsed="false">
      <c r="A10" s="4" t="s">
        <v>60</v>
      </c>
      <c r="B10" s="4" t="s">
        <v>61</v>
      </c>
      <c r="C10" s="4" t="n">
        <v>1510</v>
      </c>
      <c r="D10" s="4" t="n">
        <v>75.03</v>
      </c>
      <c r="E10" s="4" t="n">
        <v>73.33</v>
      </c>
      <c r="F10" s="4" t="n">
        <v>423</v>
      </c>
      <c r="G10" s="4" t="n">
        <v>308</v>
      </c>
      <c r="H10" s="4" t="n">
        <v>190</v>
      </c>
      <c r="I10" s="4" t="n">
        <v>64</v>
      </c>
      <c r="J10" s="4" t="n">
        <v>53</v>
      </c>
      <c r="K10" s="4" t="n">
        <v>42</v>
      </c>
      <c r="L10" s="4" t="n">
        <v>11</v>
      </c>
      <c r="M10" s="4" t="n">
        <v>9</v>
      </c>
      <c r="N10" s="4" t="n">
        <v>10</v>
      </c>
      <c r="O10" s="4" t="n">
        <v>4</v>
      </c>
      <c r="P10" s="4" t="n">
        <f aca="false">SUM(F10:O10)</f>
        <v>1114</v>
      </c>
      <c r="Q10" s="11" t="n">
        <f aca="false">IFERROR(F10/P10,0)</f>
        <v>0.379712746858169</v>
      </c>
      <c r="R10" s="11" t="n">
        <f aca="false">IFERROR(G10/P10,0)</f>
        <v>0.276481149012567</v>
      </c>
      <c r="S10" s="11" t="n">
        <f aca="false">IFERROR(H10/P10,0)</f>
        <v>0.170556552962298</v>
      </c>
      <c r="T10" s="11" t="n">
        <f aca="false">IFERROR(I10/P10,0)</f>
        <v>0.0574506283662478</v>
      </c>
      <c r="U10" s="11" t="n">
        <f aca="false">IFERROR(J10/P10,0)</f>
        <v>0.0475763016157989</v>
      </c>
      <c r="V10" s="11" t="n">
        <f aca="false">IFERROR(K10/P10,0)</f>
        <v>0.0377019748653501</v>
      </c>
      <c r="W10" s="11" t="n">
        <f aca="false">IFERROR(L10/P10,0)</f>
        <v>0.00987432675044883</v>
      </c>
      <c r="X10" s="11" t="n">
        <f aca="false">IFERROR(M10/P10,0)</f>
        <v>0.00807899461400359</v>
      </c>
      <c r="Y10" s="11" t="n">
        <f aca="false">IFERROR(N10/P10,0)</f>
        <v>0.00897666068222621</v>
      </c>
      <c r="Z10" s="11" t="n">
        <f aca="false">IFERROR(O10/P10,0)</f>
        <v>0.00359066427289049</v>
      </c>
    </row>
    <row r="11" customFormat="false" ht="15" hidden="false" customHeight="true" outlineLevel="0" collapsed="false">
      <c r="A11" s="4" t="s">
        <v>62</v>
      </c>
      <c r="B11" s="4" t="s">
        <v>63</v>
      </c>
      <c r="C11" s="4" t="n">
        <v>1040</v>
      </c>
      <c r="D11" s="4" t="n">
        <v>76.44</v>
      </c>
      <c r="E11" s="4" t="n">
        <v>76.52</v>
      </c>
      <c r="F11" s="4" t="n">
        <v>228</v>
      </c>
      <c r="G11" s="4" t="n">
        <v>255</v>
      </c>
      <c r="H11" s="4" t="n">
        <v>184</v>
      </c>
      <c r="I11" s="4" t="n">
        <v>45</v>
      </c>
      <c r="J11" s="4" t="n">
        <v>33</v>
      </c>
      <c r="K11" s="4" t="n">
        <v>25</v>
      </c>
      <c r="L11" s="4" t="n">
        <v>6</v>
      </c>
      <c r="M11" s="4" t="n">
        <v>2</v>
      </c>
      <c r="N11" s="4" t="n">
        <v>5</v>
      </c>
      <c r="O11" s="4" t="n">
        <v>4</v>
      </c>
      <c r="P11" s="4" t="n">
        <f aca="false">SUM(F11:O11)</f>
        <v>787</v>
      </c>
      <c r="Q11" s="11" t="n">
        <f aca="false">IFERROR(F11/P11,0)</f>
        <v>0.289707750952986</v>
      </c>
      <c r="R11" s="11" t="n">
        <f aca="false">IFERROR(G11/P11,0)</f>
        <v>0.324015247776366</v>
      </c>
      <c r="S11" s="11" t="n">
        <f aca="false">IFERROR(H11/P11,0)</f>
        <v>0.233799237611182</v>
      </c>
      <c r="T11" s="11" t="n">
        <f aca="false">IFERROR(I11/P11,0)</f>
        <v>0.0571791613722999</v>
      </c>
      <c r="U11" s="11" t="n">
        <f aca="false">IFERROR(J11/P11,0)</f>
        <v>0.0419313850063532</v>
      </c>
      <c r="V11" s="11" t="n">
        <f aca="false">IFERROR(K11/P11,0)</f>
        <v>0.0317662007623888</v>
      </c>
      <c r="W11" s="11" t="n">
        <f aca="false">IFERROR(L11/P11,0)</f>
        <v>0.00762388818297332</v>
      </c>
      <c r="X11" s="11" t="n">
        <f aca="false">IFERROR(M11/P11,0)</f>
        <v>0.00254129606099111</v>
      </c>
      <c r="Y11" s="11" t="n">
        <f aca="false">IFERROR(N11/P11,0)</f>
        <v>0.00635324015247776</v>
      </c>
      <c r="Z11" s="11" t="n">
        <f aca="false">IFERROR(O11/P11,0)</f>
        <v>0.00508259212198221</v>
      </c>
    </row>
    <row r="12" customFormat="false" ht="15" hidden="false" customHeight="true" outlineLevel="0" collapsed="false">
      <c r="A12" s="4" t="s">
        <v>64</v>
      </c>
      <c r="B12" s="4" t="s">
        <v>65</v>
      </c>
      <c r="C12" s="4" t="n">
        <v>1161</v>
      </c>
      <c r="D12" s="4" t="n">
        <v>78.04</v>
      </c>
      <c r="E12" s="4" t="n">
        <v>80.68</v>
      </c>
      <c r="F12" s="4" t="n">
        <v>343</v>
      </c>
      <c r="G12" s="4" t="n">
        <v>338</v>
      </c>
      <c r="H12" s="4" t="n">
        <v>87</v>
      </c>
      <c r="I12" s="4" t="n">
        <v>55</v>
      </c>
      <c r="J12" s="4" t="n">
        <v>25</v>
      </c>
      <c r="K12" s="4" t="n">
        <v>31</v>
      </c>
      <c r="L12" s="4" t="n">
        <v>11</v>
      </c>
      <c r="M12" s="4" t="n">
        <v>3</v>
      </c>
      <c r="N12" s="4" t="n">
        <v>7</v>
      </c>
      <c r="O12" s="4" t="n">
        <v>1</v>
      </c>
      <c r="P12" s="4" t="n">
        <f aca="false">SUM(F12:O12)</f>
        <v>901</v>
      </c>
      <c r="Q12" s="11" t="n">
        <f aca="false">IFERROR(F12/P12,0)</f>
        <v>0.380688124306326</v>
      </c>
      <c r="R12" s="11" t="n">
        <f aca="false">IFERROR(G12/P12,0)</f>
        <v>0.375138734739179</v>
      </c>
      <c r="S12" s="11" t="n">
        <f aca="false">IFERROR(H12/P12,0)</f>
        <v>0.0965593784683685</v>
      </c>
      <c r="T12" s="11" t="n">
        <f aca="false">IFERROR(I12/P12,0)</f>
        <v>0.0610432852386238</v>
      </c>
      <c r="U12" s="11" t="n">
        <f aca="false">IFERROR(J12/P12,0)</f>
        <v>0.0277469478357381</v>
      </c>
      <c r="V12" s="11" t="n">
        <f aca="false">IFERROR(K12/P12,0)</f>
        <v>0.0344062153163152</v>
      </c>
      <c r="W12" s="11" t="n">
        <f aca="false">IFERROR(L12/P12,0)</f>
        <v>0.0122086570477248</v>
      </c>
      <c r="X12" s="11" t="n">
        <f aca="false">IFERROR(M12/P12,0)</f>
        <v>0.00332963374028857</v>
      </c>
      <c r="Y12" s="11" t="n">
        <f aca="false">IFERROR(N12/P12,0)</f>
        <v>0.00776914539400666</v>
      </c>
      <c r="Z12" s="11" t="n">
        <f aca="false">IFERROR(O12/P12,0)</f>
        <v>0.00110987791342952</v>
      </c>
    </row>
    <row r="13" customFormat="false" ht="15" hidden="false" customHeight="true" outlineLevel="0" collapsed="false">
      <c r="A13" s="4" t="s">
        <v>66</v>
      </c>
      <c r="B13" s="4" t="s">
        <v>67</v>
      </c>
      <c r="C13" s="4" t="n">
        <v>1742</v>
      </c>
      <c r="D13" s="4" t="n">
        <v>60.73</v>
      </c>
      <c r="E13" s="4" t="n">
        <v>54.71</v>
      </c>
      <c r="F13" s="4" t="n">
        <v>104</v>
      </c>
      <c r="G13" s="4" t="n">
        <v>427</v>
      </c>
      <c r="H13" s="4" t="n">
        <v>120</v>
      </c>
      <c r="I13" s="4" t="n">
        <v>213</v>
      </c>
      <c r="J13" s="4" t="n">
        <v>27</v>
      </c>
      <c r="K13" s="4" t="n">
        <v>31</v>
      </c>
      <c r="L13" s="4" t="n">
        <v>117</v>
      </c>
      <c r="M13" s="4" t="n">
        <v>7</v>
      </c>
      <c r="N13" s="4" t="n">
        <v>4</v>
      </c>
      <c r="O13" s="4" t="n">
        <v>4</v>
      </c>
      <c r="P13" s="4" t="n">
        <f aca="false">SUM(F13:O13)</f>
        <v>1054</v>
      </c>
      <c r="Q13" s="11" t="n">
        <f aca="false">IFERROR(F13/P13,0)</f>
        <v>0.0986717267552182</v>
      </c>
      <c r="R13" s="11" t="n">
        <f aca="false">IFERROR(G13/P13,0)</f>
        <v>0.405123339658444</v>
      </c>
      <c r="S13" s="11" t="n">
        <f aca="false">IFERROR(H13/P13,0)</f>
        <v>0.113851992409867</v>
      </c>
      <c r="T13" s="11" t="n">
        <f aca="false">IFERROR(I13/P13,0)</f>
        <v>0.202087286527514</v>
      </c>
      <c r="U13" s="11" t="n">
        <f aca="false">IFERROR(J13/P13,0)</f>
        <v>0.0256166982922201</v>
      </c>
      <c r="V13" s="11" t="n">
        <f aca="false">IFERROR(K13/P13,0)</f>
        <v>0.0294117647058824</v>
      </c>
      <c r="W13" s="11" t="n">
        <f aca="false">IFERROR(L13/P13,0)</f>
        <v>0.111005692599621</v>
      </c>
      <c r="X13" s="11" t="n">
        <f aca="false">IFERROR(M13/P13,0)</f>
        <v>0.00664136622390892</v>
      </c>
      <c r="Y13" s="11" t="n">
        <f aca="false">IFERROR(N13/P13,0)</f>
        <v>0.00379506641366224</v>
      </c>
      <c r="Z13" s="11" t="n">
        <f aca="false">IFERROR(O13/P13,0)</f>
        <v>0.00379506641366224</v>
      </c>
    </row>
    <row r="14" customFormat="false" ht="15" hidden="false" customHeight="true" outlineLevel="0" collapsed="false">
      <c r="A14" s="4" t="s">
        <v>68</v>
      </c>
      <c r="B14" s="4" t="s">
        <v>69</v>
      </c>
      <c r="C14" s="4" t="n">
        <v>1652</v>
      </c>
      <c r="D14" s="4" t="n">
        <v>67.01</v>
      </c>
      <c r="E14" s="4" t="n">
        <v>60.82</v>
      </c>
      <c r="F14" s="4" t="n">
        <v>322</v>
      </c>
      <c r="G14" s="4" t="n">
        <v>344</v>
      </c>
      <c r="H14" s="4" t="n">
        <v>108</v>
      </c>
      <c r="I14" s="4" t="n">
        <v>159</v>
      </c>
      <c r="J14" s="4" t="n">
        <v>37</v>
      </c>
      <c r="K14" s="4" t="n">
        <v>51</v>
      </c>
      <c r="L14" s="4" t="n">
        <v>57</v>
      </c>
      <c r="M14" s="4" t="n">
        <v>7</v>
      </c>
      <c r="N14" s="4" t="n">
        <v>4</v>
      </c>
      <c r="O14" s="4" t="n">
        <v>3</v>
      </c>
      <c r="P14" s="4" t="n">
        <f aca="false">SUM(F14:O14)</f>
        <v>1092</v>
      </c>
      <c r="Q14" s="11" t="n">
        <f aca="false">IFERROR(F14/P14,0)</f>
        <v>0.294871794871795</v>
      </c>
      <c r="R14" s="11" t="n">
        <f aca="false">IFERROR(G14/P14,0)</f>
        <v>0.315018315018315</v>
      </c>
      <c r="S14" s="11" t="n">
        <f aca="false">IFERROR(H14/P14,0)</f>
        <v>0.0989010989010989</v>
      </c>
      <c r="T14" s="11" t="n">
        <f aca="false">IFERROR(I14/P14,0)</f>
        <v>0.145604395604396</v>
      </c>
      <c r="U14" s="11" t="n">
        <f aca="false">IFERROR(J14/P14,0)</f>
        <v>0.0338827838827839</v>
      </c>
      <c r="V14" s="11" t="n">
        <f aca="false">IFERROR(K14/P14,0)</f>
        <v>0.0467032967032967</v>
      </c>
      <c r="W14" s="11" t="n">
        <f aca="false">IFERROR(L14/P14,0)</f>
        <v>0.0521978021978022</v>
      </c>
      <c r="X14" s="11" t="n">
        <f aca="false">IFERROR(M14/P14,0)</f>
        <v>0.00641025641025641</v>
      </c>
      <c r="Y14" s="11" t="n">
        <f aca="false">IFERROR(N14/P14,0)</f>
        <v>0.00366300366300366</v>
      </c>
      <c r="Z14" s="11" t="n">
        <f aca="false">IFERROR(O14/P14,0)</f>
        <v>0.00274725274725275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4" t="n">
        <v>1468</v>
      </c>
      <c r="D15" s="4" t="n">
        <v>85.29</v>
      </c>
      <c r="E15" s="4" t="n">
        <v>82.53</v>
      </c>
      <c r="F15" s="4" t="n">
        <v>526</v>
      </c>
      <c r="G15" s="4" t="n">
        <v>415</v>
      </c>
      <c r="H15" s="4" t="n">
        <v>154</v>
      </c>
      <c r="I15" s="4" t="n">
        <v>43</v>
      </c>
      <c r="J15" s="4" t="n">
        <v>47</v>
      </c>
      <c r="K15" s="4" t="n">
        <v>28</v>
      </c>
      <c r="L15" s="4" t="n">
        <v>5</v>
      </c>
      <c r="M15" s="4" t="n">
        <v>6</v>
      </c>
      <c r="N15" s="4" t="n">
        <v>14</v>
      </c>
      <c r="O15" s="4" t="n">
        <v>3</v>
      </c>
      <c r="P15" s="4" t="n">
        <f aca="false">SUM(F15:O15)</f>
        <v>1241</v>
      </c>
      <c r="Q15" s="11" t="n">
        <f aca="false">IFERROR(F15/P15,0)</f>
        <v>0.423851732473811</v>
      </c>
      <c r="R15" s="11" t="n">
        <f aca="false">IFERROR(G15/P15,0)</f>
        <v>0.334407735697019</v>
      </c>
      <c r="S15" s="11" t="n">
        <f aca="false">IFERROR(H15/P15,0)</f>
        <v>0.124093473005641</v>
      </c>
      <c r="T15" s="11" t="n">
        <f aca="false">IFERROR(I15/P15,0)</f>
        <v>0.0346494762288477</v>
      </c>
      <c r="U15" s="11" t="n">
        <f aca="false">IFERROR(J15/P15,0)</f>
        <v>0.0378726833199033</v>
      </c>
      <c r="V15" s="11" t="n">
        <f aca="false">IFERROR(K15/P15,0)</f>
        <v>0.0225624496373892</v>
      </c>
      <c r="W15" s="11" t="n">
        <f aca="false">IFERROR(L15/P15,0)</f>
        <v>0.0040290088638195</v>
      </c>
      <c r="X15" s="11" t="n">
        <f aca="false">IFERROR(M15/P15,0)</f>
        <v>0.0048348106365834</v>
      </c>
      <c r="Y15" s="11" t="n">
        <f aca="false">IFERROR(N15/P15,0)</f>
        <v>0.0112812248186946</v>
      </c>
      <c r="Z15" s="11" t="n">
        <f aca="false">IFERROR(O15/P15,0)</f>
        <v>0.0024174053182917</v>
      </c>
    </row>
    <row r="16" customFormat="false" ht="15" hidden="false" customHeight="true" outlineLevel="0" collapsed="false">
      <c r="A16" s="4" t="s">
        <v>72</v>
      </c>
      <c r="B16" s="4" t="s">
        <v>73</v>
      </c>
      <c r="C16" s="4" t="n">
        <v>1565</v>
      </c>
      <c r="D16" s="4" t="n">
        <v>88.5</v>
      </c>
      <c r="E16" s="4" t="n">
        <v>90.23</v>
      </c>
      <c r="F16" s="4" t="n">
        <v>789</v>
      </c>
      <c r="G16" s="4" t="n">
        <v>316</v>
      </c>
      <c r="H16" s="4" t="n">
        <v>146</v>
      </c>
      <c r="I16" s="4" t="n">
        <v>13</v>
      </c>
      <c r="J16" s="4" t="n">
        <v>52</v>
      </c>
      <c r="K16" s="4" t="n">
        <v>35</v>
      </c>
      <c r="L16" s="4" t="n">
        <v>4</v>
      </c>
      <c r="M16" s="4" t="n">
        <v>7</v>
      </c>
      <c r="N16" s="4" t="n">
        <v>7</v>
      </c>
      <c r="O16" s="4" t="n">
        <v>4</v>
      </c>
      <c r="P16" s="4" t="n">
        <f aca="false">SUM(F16:O16)</f>
        <v>1373</v>
      </c>
      <c r="Q16" s="11" t="n">
        <f aca="false">IFERROR(F16/P16,0)</f>
        <v>0.574654042243263</v>
      </c>
      <c r="R16" s="11" t="n">
        <f aca="false">IFERROR(G16/P16,0)</f>
        <v>0.230152949745084</v>
      </c>
      <c r="S16" s="11" t="n">
        <f aca="false">IFERROR(H16/P16,0)</f>
        <v>0.106336489439184</v>
      </c>
      <c r="T16" s="11" t="n">
        <f aca="false">IFERROR(I16/P16,0)</f>
        <v>0.00946831755280408</v>
      </c>
      <c r="U16" s="11" t="n">
        <f aca="false">IFERROR(J16/P16,0)</f>
        <v>0.0378732702112163</v>
      </c>
      <c r="V16" s="11" t="n">
        <f aca="false">IFERROR(K16/P16,0)</f>
        <v>0.0254916241806264</v>
      </c>
      <c r="W16" s="11" t="n">
        <f aca="false">IFERROR(L16/P16,0)</f>
        <v>0.00291332847778587</v>
      </c>
      <c r="X16" s="11" t="n">
        <f aca="false">IFERROR(M16/P16,0)</f>
        <v>0.00509832483612527</v>
      </c>
      <c r="Y16" s="11" t="n">
        <f aca="false">IFERROR(N16/P16,0)</f>
        <v>0.00509832483612527</v>
      </c>
      <c r="Z16" s="11" t="n">
        <f aca="false">IFERROR(O16/P16,0)</f>
        <v>0.00291332847778587</v>
      </c>
    </row>
    <row r="17" customFormat="false" ht="15" hidden="false" customHeight="true" outlineLevel="0" collapsed="false">
      <c r="A17" s="4" t="s">
        <v>74</v>
      </c>
      <c r="B17" s="4" t="s">
        <v>75</v>
      </c>
      <c r="C17" s="4" t="n">
        <v>1680</v>
      </c>
      <c r="D17" s="4" t="n">
        <v>90.42</v>
      </c>
      <c r="E17" s="4" t="n">
        <v>92.12</v>
      </c>
      <c r="F17" s="4" t="n">
        <v>1081</v>
      </c>
      <c r="G17" s="4" t="n">
        <v>180</v>
      </c>
      <c r="H17" s="4" t="n">
        <v>82</v>
      </c>
      <c r="I17" s="4" t="n">
        <v>11</v>
      </c>
      <c r="J17" s="4" t="n">
        <v>84</v>
      </c>
      <c r="K17" s="4" t="n">
        <v>53</v>
      </c>
      <c r="L17" s="4" t="n">
        <v>0</v>
      </c>
      <c r="M17" s="4" t="n">
        <v>16</v>
      </c>
      <c r="N17" s="4" t="n">
        <v>1</v>
      </c>
      <c r="O17" s="4" t="n">
        <v>4</v>
      </c>
      <c r="P17" s="4" t="n">
        <f aca="false">SUM(F17:O17)</f>
        <v>1512</v>
      </c>
      <c r="Q17" s="11" t="n">
        <f aca="false">IFERROR(F17/P17,0)</f>
        <v>0.71494708994709</v>
      </c>
      <c r="R17" s="11" t="n">
        <f aca="false">IFERROR(G17/P17,0)</f>
        <v>0.119047619047619</v>
      </c>
      <c r="S17" s="11" t="n">
        <f aca="false">IFERROR(H17/P17,0)</f>
        <v>0.0542328042328042</v>
      </c>
      <c r="T17" s="11" t="n">
        <f aca="false">IFERROR(I17/P17,0)</f>
        <v>0.00727513227513228</v>
      </c>
      <c r="U17" s="11" t="n">
        <f aca="false">IFERROR(J17/P17,0)</f>
        <v>0.0555555555555556</v>
      </c>
      <c r="V17" s="11" t="n">
        <f aca="false">IFERROR(K17/P17,0)</f>
        <v>0.0350529100529101</v>
      </c>
      <c r="W17" s="11" t="n">
        <f aca="false">IFERROR(L17/P17,0)</f>
        <v>0</v>
      </c>
      <c r="X17" s="11" t="n">
        <f aca="false">IFERROR(M17/P17,0)</f>
        <v>0.0105820105820106</v>
      </c>
      <c r="Y17" s="11" t="n">
        <f aca="false">IFERROR(N17/P17,0)</f>
        <v>0.000661375661375661</v>
      </c>
      <c r="Z17" s="11" t="n">
        <f aca="false">IFERROR(O17/P17,0)</f>
        <v>0.00264550264550265</v>
      </c>
    </row>
    <row r="18" customFormat="false" ht="15" hidden="false" customHeight="true" outlineLevel="0" collapsed="false">
      <c r="A18" s="4" t="s">
        <v>76</v>
      </c>
      <c r="B18" s="4" t="s">
        <v>77</v>
      </c>
      <c r="C18" s="4" t="n">
        <v>1035</v>
      </c>
      <c r="D18" s="4" t="n">
        <v>92.17</v>
      </c>
      <c r="E18" s="4" t="n">
        <v>93.5</v>
      </c>
      <c r="F18" s="4" t="n">
        <v>693</v>
      </c>
      <c r="G18" s="4" t="n">
        <v>117</v>
      </c>
      <c r="H18" s="4" t="n">
        <v>35</v>
      </c>
      <c r="I18" s="4" t="n">
        <v>8</v>
      </c>
      <c r="J18" s="4" t="n">
        <v>45</v>
      </c>
      <c r="K18" s="4" t="n">
        <v>34</v>
      </c>
      <c r="L18" s="4" t="n">
        <v>3</v>
      </c>
      <c r="M18" s="4" t="n">
        <v>5</v>
      </c>
      <c r="N18" s="4" t="n">
        <v>8</v>
      </c>
      <c r="O18" s="4" t="n">
        <v>0</v>
      </c>
      <c r="P18" s="4" t="n">
        <f aca="false">SUM(F18:O18)</f>
        <v>948</v>
      </c>
      <c r="Q18" s="11" t="n">
        <f aca="false">IFERROR(F18/P18,0)</f>
        <v>0.731012658227848</v>
      </c>
      <c r="R18" s="11" t="n">
        <f aca="false">IFERROR(G18/P18,0)</f>
        <v>0.123417721518987</v>
      </c>
      <c r="S18" s="11" t="n">
        <f aca="false">IFERROR(H18/P18,0)</f>
        <v>0.0369198312236287</v>
      </c>
      <c r="T18" s="11" t="n">
        <f aca="false">IFERROR(I18/P18,0)</f>
        <v>0.00843881856540084</v>
      </c>
      <c r="U18" s="11" t="n">
        <f aca="false">IFERROR(J18/P18,0)</f>
        <v>0.0474683544303798</v>
      </c>
      <c r="V18" s="11" t="n">
        <f aca="false">IFERROR(K18/P18,0)</f>
        <v>0.0358649789029536</v>
      </c>
      <c r="W18" s="11" t="n">
        <f aca="false">IFERROR(L18/P18,0)</f>
        <v>0.00316455696202532</v>
      </c>
      <c r="X18" s="11" t="n">
        <f aca="false">IFERROR(M18/P18,0)</f>
        <v>0.00527426160337553</v>
      </c>
      <c r="Y18" s="11" t="n">
        <f aca="false">IFERROR(N18/P18,0)</f>
        <v>0.00843881856540084</v>
      </c>
      <c r="Z18" s="11" t="n">
        <f aca="false">IFERROR(O18/P18,0)</f>
        <v>0</v>
      </c>
    </row>
    <row r="19" customFormat="false" ht="15" hidden="false" customHeight="true" outlineLevel="0" collapsed="false">
      <c r="A19" s="4" t="s">
        <v>78</v>
      </c>
      <c r="B19" s="4" t="s">
        <v>79</v>
      </c>
      <c r="C19" s="4" t="n">
        <v>1671</v>
      </c>
      <c r="D19" s="4" t="n">
        <v>58.29</v>
      </c>
      <c r="E19" s="4" t="n">
        <v>55.37</v>
      </c>
      <c r="F19" s="4" t="n">
        <v>213</v>
      </c>
      <c r="G19" s="4" t="n">
        <v>324</v>
      </c>
      <c r="H19" s="4" t="n">
        <v>131</v>
      </c>
      <c r="I19" s="4" t="n">
        <v>185</v>
      </c>
      <c r="J19" s="4" t="n">
        <v>30</v>
      </c>
      <c r="K19" s="4" t="n">
        <v>43</v>
      </c>
      <c r="L19" s="4" t="n">
        <v>25</v>
      </c>
      <c r="M19" s="4" t="n">
        <v>3</v>
      </c>
      <c r="N19" s="4" t="n">
        <v>5</v>
      </c>
      <c r="O19" s="4" t="n">
        <v>5</v>
      </c>
      <c r="P19" s="4" t="n">
        <f aca="false">SUM(F19:O19)</f>
        <v>964</v>
      </c>
      <c r="Q19" s="11" t="n">
        <f aca="false">IFERROR(F19/P19,0)</f>
        <v>0.220954356846473</v>
      </c>
      <c r="R19" s="11" t="n">
        <f aca="false">IFERROR(G19/P19,0)</f>
        <v>0.336099585062241</v>
      </c>
      <c r="S19" s="11" t="n">
        <f aca="false">IFERROR(H19/P19,0)</f>
        <v>0.135892116182573</v>
      </c>
      <c r="T19" s="11" t="n">
        <f aca="false">IFERROR(I19/P19,0)</f>
        <v>0.191908713692946</v>
      </c>
      <c r="U19" s="11" t="n">
        <f aca="false">IFERROR(J19/P19,0)</f>
        <v>0.0311203319502075</v>
      </c>
      <c r="V19" s="11" t="n">
        <f aca="false">IFERROR(K19/P19,0)</f>
        <v>0.0446058091286307</v>
      </c>
      <c r="W19" s="11" t="n">
        <f aca="false">IFERROR(L19/P19,0)</f>
        <v>0.0259336099585062</v>
      </c>
      <c r="X19" s="11" t="n">
        <f aca="false">IFERROR(M19/P19,0)</f>
        <v>0.00311203319502075</v>
      </c>
      <c r="Y19" s="11" t="n">
        <f aca="false">IFERROR(N19/P19,0)</f>
        <v>0.00518672199170125</v>
      </c>
      <c r="Z19" s="11" t="n">
        <f aca="false">IFERROR(O19/P19,0)</f>
        <v>0.00518672199170125</v>
      </c>
    </row>
    <row r="20" customFormat="false" ht="15" hidden="false" customHeight="true" outlineLevel="0" collapsed="false">
      <c r="A20" s="4" t="s">
        <v>80</v>
      </c>
      <c r="B20" s="4" t="s">
        <v>81</v>
      </c>
      <c r="C20" s="4" t="n">
        <v>314</v>
      </c>
      <c r="D20" s="4" t="n">
        <v>89.49</v>
      </c>
      <c r="E20" s="4" t="n">
        <v>86.2</v>
      </c>
      <c r="F20" s="4" t="n">
        <v>106</v>
      </c>
      <c r="G20" s="4" t="n">
        <v>54</v>
      </c>
      <c r="H20" s="4" t="n">
        <v>29</v>
      </c>
      <c r="I20" s="4" t="n">
        <v>7</v>
      </c>
      <c r="J20" s="4" t="n">
        <v>41</v>
      </c>
      <c r="K20" s="4" t="n">
        <v>26</v>
      </c>
      <c r="L20" s="4" t="n">
        <v>0</v>
      </c>
      <c r="M20" s="4" t="n">
        <v>11</v>
      </c>
      <c r="N20" s="4" t="n">
        <v>3</v>
      </c>
      <c r="O20" s="4" t="n">
        <v>1</v>
      </c>
      <c r="P20" s="4" t="n">
        <f aca="false">SUM(F20:O20)</f>
        <v>278</v>
      </c>
      <c r="Q20" s="11" t="n">
        <f aca="false">IFERROR(F20/P20,0)</f>
        <v>0.381294964028777</v>
      </c>
      <c r="R20" s="11" t="n">
        <f aca="false">IFERROR(G20/P20,0)</f>
        <v>0.194244604316547</v>
      </c>
      <c r="S20" s="11" t="n">
        <f aca="false">IFERROR(H20/P20,0)</f>
        <v>0.10431654676259</v>
      </c>
      <c r="T20" s="11" t="n">
        <f aca="false">IFERROR(I20/P20,0)</f>
        <v>0.0251798561151079</v>
      </c>
      <c r="U20" s="11" t="n">
        <f aca="false">IFERROR(J20/P20,0)</f>
        <v>0.147482014388489</v>
      </c>
      <c r="V20" s="11" t="n">
        <f aca="false">IFERROR(K20/P20,0)</f>
        <v>0.0935251798561151</v>
      </c>
      <c r="W20" s="11" t="n">
        <f aca="false">IFERROR(L20/P20,0)</f>
        <v>0</v>
      </c>
      <c r="X20" s="11" t="n">
        <f aca="false">IFERROR(M20/P20,0)</f>
        <v>0.039568345323741</v>
      </c>
      <c r="Y20" s="11" t="n">
        <f aca="false">IFERROR(N20/P20,0)</f>
        <v>0.0107913669064748</v>
      </c>
      <c r="Z20" s="11" t="n">
        <f aca="false">IFERROR(O20/P20,0)</f>
        <v>0.00359712230215827</v>
      </c>
    </row>
    <row r="21" customFormat="false" ht="15" hidden="false" customHeight="true" outlineLevel="0" collapsed="false">
      <c r="A21" s="4" t="s">
        <v>82</v>
      </c>
      <c r="B21" s="4" t="s">
        <v>83</v>
      </c>
      <c r="C21" s="4" t="n">
        <v>1351</v>
      </c>
      <c r="D21" s="4" t="n">
        <v>81.35</v>
      </c>
      <c r="E21" s="4" t="n">
        <v>82.52</v>
      </c>
      <c r="F21" s="4" t="n">
        <v>437</v>
      </c>
      <c r="G21" s="4" t="n">
        <v>143</v>
      </c>
      <c r="H21" s="4" t="n">
        <v>238</v>
      </c>
      <c r="I21" s="4" t="n">
        <v>39</v>
      </c>
      <c r="J21" s="4" t="n">
        <v>113</v>
      </c>
      <c r="K21" s="4" t="n">
        <v>53</v>
      </c>
      <c r="L21" s="4" t="n">
        <v>2</v>
      </c>
      <c r="M21" s="4" t="n">
        <v>33</v>
      </c>
      <c r="N21" s="4" t="n">
        <v>23</v>
      </c>
      <c r="O21" s="4" t="n">
        <v>3</v>
      </c>
      <c r="P21" s="4" t="n">
        <f aca="false">SUM(F21:O21)</f>
        <v>1084</v>
      </c>
      <c r="Q21" s="11" t="n">
        <f aca="false">IFERROR(F21/P21,0)</f>
        <v>0.403136531365314</v>
      </c>
      <c r="R21" s="11" t="n">
        <f aca="false">IFERROR(G21/P21,0)</f>
        <v>0.131918819188192</v>
      </c>
      <c r="S21" s="11" t="n">
        <f aca="false">IFERROR(H21/P21,0)</f>
        <v>0.219557195571956</v>
      </c>
      <c r="T21" s="11" t="n">
        <f aca="false">IFERROR(I21/P21,0)</f>
        <v>0.0359778597785978</v>
      </c>
      <c r="U21" s="11" t="n">
        <f aca="false">IFERROR(J21/P21,0)</f>
        <v>0.104243542435424</v>
      </c>
      <c r="V21" s="11" t="n">
        <f aca="false">IFERROR(K21/P21,0)</f>
        <v>0.0488929889298893</v>
      </c>
      <c r="W21" s="11" t="n">
        <f aca="false">IFERROR(L21/P21,0)</f>
        <v>0.0018450184501845</v>
      </c>
      <c r="X21" s="11" t="n">
        <f aca="false">IFERROR(M21/P21,0)</f>
        <v>0.0304428044280443</v>
      </c>
      <c r="Y21" s="11" t="n">
        <f aca="false">IFERROR(N21/P21,0)</f>
        <v>0.0212177121771218</v>
      </c>
      <c r="Z21" s="11" t="n">
        <f aca="false">IFERROR(O21/P21,0)</f>
        <v>0.00276752767527675</v>
      </c>
    </row>
    <row r="22" customFormat="false" ht="15" hidden="false" customHeight="true" outlineLevel="0" collapsed="false">
      <c r="A22" s="4" t="s">
        <v>84</v>
      </c>
      <c r="B22" s="4" t="s">
        <v>85</v>
      </c>
      <c r="C22" s="4" t="n">
        <v>1758</v>
      </c>
      <c r="D22" s="4" t="n">
        <v>81.85</v>
      </c>
      <c r="E22" s="4" t="n">
        <v>81.32</v>
      </c>
      <c r="F22" s="4" t="n">
        <v>620</v>
      </c>
      <c r="G22" s="4" t="n">
        <v>269</v>
      </c>
      <c r="H22" s="4" t="n">
        <v>277</v>
      </c>
      <c r="I22" s="4" t="n">
        <v>34</v>
      </c>
      <c r="J22" s="4" t="n">
        <v>148</v>
      </c>
      <c r="K22" s="4" t="n">
        <v>44</v>
      </c>
      <c r="L22" s="4" t="n">
        <v>3</v>
      </c>
      <c r="M22" s="4" t="n">
        <v>12</v>
      </c>
      <c r="N22" s="4" t="n">
        <v>18</v>
      </c>
      <c r="O22" s="4" t="n">
        <v>3</v>
      </c>
      <c r="P22" s="4" t="n">
        <f aca="false">SUM(F22:O22)</f>
        <v>1428</v>
      </c>
      <c r="Q22" s="11" t="n">
        <f aca="false">IFERROR(F22/P22,0)</f>
        <v>0.434173669467787</v>
      </c>
      <c r="R22" s="11" t="n">
        <f aca="false">IFERROR(G22/P22,0)</f>
        <v>0.188375350140056</v>
      </c>
      <c r="S22" s="11" t="n">
        <f aca="false">IFERROR(H22/P22,0)</f>
        <v>0.193977591036415</v>
      </c>
      <c r="T22" s="11" t="n">
        <f aca="false">IFERROR(I22/P22,0)</f>
        <v>0.0238095238095238</v>
      </c>
      <c r="U22" s="11" t="n">
        <f aca="false">IFERROR(J22/P22,0)</f>
        <v>0.103641456582633</v>
      </c>
      <c r="V22" s="11" t="n">
        <f aca="false">IFERROR(K22/P22,0)</f>
        <v>0.030812324929972</v>
      </c>
      <c r="W22" s="11" t="n">
        <f aca="false">IFERROR(L22/P22,0)</f>
        <v>0.00210084033613445</v>
      </c>
      <c r="X22" s="11" t="n">
        <f aca="false">IFERROR(M22/P22,0)</f>
        <v>0.00840336134453782</v>
      </c>
      <c r="Y22" s="11" t="n">
        <f aca="false">IFERROR(N22/P22,0)</f>
        <v>0.0126050420168067</v>
      </c>
      <c r="Z22" s="11" t="n">
        <f aca="false">IFERROR(O22/P22,0)</f>
        <v>0.00210084033613445</v>
      </c>
    </row>
    <row r="23" customFormat="false" ht="15" hidden="false" customHeight="true" outlineLevel="0" collapsed="false">
      <c r="A23" s="4" t="s">
        <v>86</v>
      </c>
      <c r="B23" s="4" t="s">
        <v>87</v>
      </c>
      <c r="C23" s="4" t="n">
        <v>1630</v>
      </c>
      <c r="D23" s="4" t="n">
        <v>87.24</v>
      </c>
      <c r="E23" s="4" t="n">
        <v>86.9</v>
      </c>
      <c r="F23" s="4" t="n">
        <v>671</v>
      </c>
      <c r="G23" s="4" t="n">
        <v>264</v>
      </c>
      <c r="H23" s="4" t="n">
        <v>234</v>
      </c>
      <c r="I23" s="4" t="n">
        <v>25</v>
      </c>
      <c r="J23" s="4" t="n">
        <v>120</v>
      </c>
      <c r="K23" s="4" t="n">
        <v>32</v>
      </c>
      <c r="L23" s="4" t="n">
        <v>7</v>
      </c>
      <c r="M23" s="4" t="n">
        <v>24</v>
      </c>
      <c r="N23" s="4" t="n">
        <v>13</v>
      </c>
      <c r="O23" s="4" t="n">
        <v>8</v>
      </c>
      <c r="P23" s="4" t="n">
        <f aca="false">SUM(F23:O23)</f>
        <v>1398</v>
      </c>
      <c r="Q23" s="11" t="n">
        <f aca="false">IFERROR(F23/P23,0)</f>
        <v>0.47997138769671</v>
      </c>
      <c r="R23" s="11" t="n">
        <f aca="false">IFERROR(G23/P23,0)</f>
        <v>0.188841201716738</v>
      </c>
      <c r="S23" s="11" t="n">
        <f aca="false">IFERROR(H23/P23,0)</f>
        <v>0.167381974248927</v>
      </c>
      <c r="T23" s="11" t="n">
        <f aca="false">IFERROR(I23/P23,0)</f>
        <v>0.0178826895565093</v>
      </c>
      <c r="U23" s="11" t="n">
        <f aca="false">IFERROR(J23/P23,0)</f>
        <v>0.0858369098712446</v>
      </c>
      <c r="V23" s="11" t="n">
        <f aca="false">IFERROR(K23/P23,0)</f>
        <v>0.0228898426323319</v>
      </c>
      <c r="W23" s="11" t="n">
        <f aca="false">IFERROR(L23/P23,0)</f>
        <v>0.0050071530758226</v>
      </c>
      <c r="X23" s="11" t="n">
        <f aca="false">IFERROR(M23/P23,0)</f>
        <v>0.0171673819742489</v>
      </c>
      <c r="Y23" s="11" t="n">
        <f aca="false">IFERROR(N23/P23,0)</f>
        <v>0.00929899856938484</v>
      </c>
      <c r="Z23" s="11" t="n">
        <f aca="false">IFERROR(O23/P23,0)</f>
        <v>0.00572246065808298</v>
      </c>
    </row>
    <row r="24" customFormat="false" ht="15" hidden="false" customHeight="true" outlineLevel="0" collapsed="false">
      <c r="A24" s="4" t="s">
        <v>88</v>
      </c>
      <c r="B24" s="4" t="s">
        <v>89</v>
      </c>
      <c r="C24" s="4" t="n">
        <v>1695</v>
      </c>
      <c r="D24" s="4" t="n">
        <v>83.89</v>
      </c>
      <c r="E24" s="4" t="n">
        <v>83.8</v>
      </c>
      <c r="F24" s="4" t="n">
        <v>564</v>
      </c>
      <c r="G24" s="4" t="n">
        <v>242</v>
      </c>
      <c r="H24" s="4" t="n">
        <v>289</v>
      </c>
      <c r="I24" s="4" t="n">
        <v>44</v>
      </c>
      <c r="J24" s="4" t="n">
        <v>156</v>
      </c>
      <c r="K24" s="4" t="n">
        <v>45</v>
      </c>
      <c r="L24" s="4" t="n">
        <v>7</v>
      </c>
      <c r="M24" s="4" t="n">
        <v>22</v>
      </c>
      <c r="N24" s="4" t="n">
        <v>29</v>
      </c>
      <c r="O24" s="4" t="n">
        <v>5</v>
      </c>
      <c r="P24" s="4" t="n">
        <f aca="false">SUM(F24:O24)</f>
        <v>1403</v>
      </c>
      <c r="Q24" s="11" t="n">
        <f aca="false">IFERROR(F24/P24,0)</f>
        <v>0.401995723449751</v>
      </c>
      <c r="R24" s="11" t="n">
        <f aca="false">IFERROR(G24/P24,0)</f>
        <v>0.172487526728439</v>
      </c>
      <c r="S24" s="11" t="n">
        <f aca="false">IFERROR(H24/P24,0)</f>
        <v>0.205987170349252</v>
      </c>
      <c r="T24" s="11" t="n">
        <f aca="false">IFERROR(I24/P24,0)</f>
        <v>0.0313613684960798</v>
      </c>
      <c r="U24" s="11" t="n">
        <f aca="false">IFERROR(J24/P24,0)</f>
        <v>0.111190306486101</v>
      </c>
      <c r="V24" s="11" t="n">
        <f aca="false">IFERROR(K24/P24,0)</f>
        <v>0.0320741268709907</v>
      </c>
      <c r="W24" s="11" t="n">
        <f aca="false">IFERROR(L24/P24,0)</f>
        <v>0.00498930862437634</v>
      </c>
      <c r="X24" s="11" t="n">
        <f aca="false">IFERROR(M24/P24,0)</f>
        <v>0.0156806842480399</v>
      </c>
      <c r="Y24" s="11" t="n">
        <f aca="false">IFERROR(N24/P24,0)</f>
        <v>0.0206699928724163</v>
      </c>
      <c r="Z24" s="11" t="n">
        <f aca="false">IFERROR(O24/P24,0)</f>
        <v>0.00356379187455453</v>
      </c>
    </row>
    <row r="25" customFormat="false" ht="15" hidden="false" customHeight="true" outlineLevel="0" collapsed="false">
      <c r="A25" s="4" t="s">
        <v>90</v>
      </c>
      <c r="B25" s="4" t="s">
        <v>91</v>
      </c>
      <c r="C25" s="4" t="n">
        <v>981</v>
      </c>
      <c r="D25" s="4" t="n">
        <v>83.18</v>
      </c>
      <c r="E25" s="4" t="n">
        <v>84.97</v>
      </c>
      <c r="F25" s="4" t="n">
        <v>307</v>
      </c>
      <c r="G25" s="4" t="n">
        <v>160</v>
      </c>
      <c r="H25" s="4" t="n">
        <v>165</v>
      </c>
      <c r="I25" s="4" t="n">
        <v>34</v>
      </c>
      <c r="J25" s="4" t="n">
        <v>64</v>
      </c>
      <c r="K25" s="4" t="n">
        <v>20</v>
      </c>
      <c r="L25" s="4" t="n">
        <v>18</v>
      </c>
      <c r="M25" s="4" t="n">
        <v>24</v>
      </c>
      <c r="N25" s="4" t="n">
        <v>7</v>
      </c>
      <c r="O25" s="4" t="n">
        <v>6</v>
      </c>
      <c r="P25" s="4" t="n">
        <f aca="false">SUM(F25:O25)</f>
        <v>805</v>
      </c>
      <c r="Q25" s="11" t="n">
        <f aca="false">IFERROR(F25/P25,0)</f>
        <v>0.381366459627329</v>
      </c>
      <c r="R25" s="11" t="n">
        <f aca="false">IFERROR(G25/P25,0)</f>
        <v>0.198757763975155</v>
      </c>
      <c r="S25" s="11" t="n">
        <f aca="false">IFERROR(H25/P25,0)</f>
        <v>0.204968944099379</v>
      </c>
      <c r="T25" s="11" t="n">
        <f aca="false">IFERROR(I25/P25,0)</f>
        <v>0.0422360248447205</v>
      </c>
      <c r="U25" s="11" t="n">
        <f aca="false">IFERROR(J25/P25,0)</f>
        <v>0.0795031055900621</v>
      </c>
      <c r="V25" s="11" t="n">
        <f aca="false">IFERROR(K25/P25,0)</f>
        <v>0.0248447204968944</v>
      </c>
      <c r="W25" s="11" t="n">
        <f aca="false">IFERROR(L25/P25,0)</f>
        <v>0.022360248447205</v>
      </c>
      <c r="X25" s="11" t="n">
        <f aca="false">IFERROR(M25/P25,0)</f>
        <v>0.0298136645962733</v>
      </c>
      <c r="Y25" s="11" t="n">
        <f aca="false">IFERROR(N25/P25,0)</f>
        <v>0.00869565217391304</v>
      </c>
      <c r="Z25" s="11" t="n">
        <f aca="false">IFERROR(O25/P25,0)</f>
        <v>0.00745341614906832</v>
      </c>
    </row>
    <row r="26" customFormat="false" ht="15" hidden="false" customHeight="true" outlineLevel="0" collapsed="false">
      <c r="A26" s="4" t="s">
        <v>92</v>
      </c>
      <c r="B26" s="4" t="s">
        <v>93</v>
      </c>
      <c r="C26" s="4" t="n">
        <v>1258</v>
      </c>
      <c r="D26" s="4" t="n">
        <v>87.84</v>
      </c>
      <c r="E26" s="4" t="n">
        <v>89.59</v>
      </c>
      <c r="F26" s="4" t="n">
        <v>532</v>
      </c>
      <c r="G26" s="4" t="n">
        <v>164</v>
      </c>
      <c r="H26" s="4" t="n">
        <v>129</v>
      </c>
      <c r="I26" s="4" t="n">
        <v>12</v>
      </c>
      <c r="J26" s="4" t="n">
        <v>137</v>
      </c>
      <c r="K26" s="4" t="n">
        <v>44</v>
      </c>
      <c r="L26" s="4" t="n">
        <v>0</v>
      </c>
      <c r="M26" s="4" t="n">
        <v>42</v>
      </c>
      <c r="N26" s="4" t="n">
        <v>17</v>
      </c>
      <c r="O26" s="4" t="n">
        <v>13</v>
      </c>
      <c r="P26" s="4" t="n">
        <f aca="false">SUM(F26:O26)</f>
        <v>1090</v>
      </c>
      <c r="Q26" s="11" t="n">
        <f aca="false">IFERROR(F26/P26,0)</f>
        <v>0.488073394495413</v>
      </c>
      <c r="R26" s="11" t="n">
        <f aca="false">IFERROR(G26/P26,0)</f>
        <v>0.15045871559633</v>
      </c>
      <c r="S26" s="11" t="n">
        <f aca="false">IFERROR(H26/P26,0)</f>
        <v>0.118348623853211</v>
      </c>
      <c r="T26" s="11" t="n">
        <f aca="false">IFERROR(I26/P26,0)</f>
        <v>0.0110091743119266</v>
      </c>
      <c r="U26" s="11" t="n">
        <f aca="false">IFERROR(J26/P26,0)</f>
        <v>0.125688073394495</v>
      </c>
      <c r="V26" s="11" t="n">
        <f aca="false">IFERROR(K26/P26,0)</f>
        <v>0.0403669724770642</v>
      </c>
      <c r="W26" s="11" t="n">
        <f aca="false">IFERROR(L26/P26,0)</f>
        <v>0</v>
      </c>
      <c r="X26" s="11" t="n">
        <f aca="false">IFERROR(M26/P26,0)</f>
        <v>0.0385321100917431</v>
      </c>
      <c r="Y26" s="11" t="n">
        <f aca="false">IFERROR(N26/P26,0)</f>
        <v>0.0155963302752294</v>
      </c>
      <c r="Z26" s="11" t="n">
        <f aca="false">IFERROR(O26/P26,0)</f>
        <v>0.0119266055045872</v>
      </c>
    </row>
    <row r="27" customFormat="false" ht="15" hidden="false" customHeight="true" outlineLevel="0" collapsed="false">
      <c r="A27" s="4" t="s">
        <v>94</v>
      </c>
      <c r="B27" s="4" t="s">
        <v>95</v>
      </c>
      <c r="C27" s="4" t="n">
        <v>1001</v>
      </c>
      <c r="D27" s="4" t="n">
        <v>88.41</v>
      </c>
      <c r="E27" s="4" t="n">
        <v>88.76</v>
      </c>
      <c r="F27" s="4" t="n">
        <v>456</v>
      </c>
      <c r="G27" s="4" t="n">
        <v>134</v>
      </c>
      <c r="H27" s="4" t="n">
        <v>108</v>
      </c>
      <c r="I27" s="4" t="n">
        <v>14</v>
      </c>
      <c r="J27" s="4" t="n">
        <v>92</v>
      </c>
      <c r="K27" s="4" t="n">
        <v>29</v>
      </c>
      <c r="L27" s="4" t="n">
        <v>2</v>
      </c>
      <c r="M27" s="4" t="n">
        <v>26</v>
      </c>
      <c r="N27" s="4" t="n">
        <v>15</v>
      </c>
      <c r="O27" s="4" t="n">
        <v>0</v>
      </c>
      <c r="P27" s="4" t="n">
        <f aca="false">SUM(F27:O27)</f>
        <v>876</v>
      </c>
      <c r="Q27" s="11" t="n">
        <f aca="false">IFERROR(F27/P27,0)</f>
        <v>0.520547945205479</v>
      </c>
      <c r="R27" s="11" t="n">
        <f aca="false">IFERROR(G27/P27,0)</f>
        <v>0.15296803652968</v>
      </c>
      <c r="S27" s="11" t="n">
        <f aca="false">IFERROR(H27/P27,0)</f>
        <v>0.123287671232877</v>
      </c>
      <c r="T27" s="11" t="n">
        <f aca="false">IFERROR(I27/P27,0)</f>
        <v>0.0159817351598174</v>
      </c>
      <c r="U27" s="11" t="n">
        <f aca="false">IFERROR(J27/P27,0)</f>
        <v>0.105022831050228</v>
      </c>
      <c r="V27" s="11" t="n">
        <f aca="false">IFERROR(K27/P27,0)</f>
        <v>0.0331050228310502</v>
      </c>
      <c r="W27" s="11" t="n">
        <f aca="false">IFERROR(L27/P27,0)</f>
        <v>0.00228310502283105</v>
      </c>
      <c r="X27" s="11" t="n">
        <f aca="false">IFERROR(M27/P27,0)</f>
        <v>0.0296803652968037</v>
      </c>
      <c r="Y27" s="11" t="n">
        <f aca="false">IFERROR(N27/P27,0)</f>
        <v>0.0171232876712329</v>
      </c>
      <c r="Z27" s="11" t="n">
        <f aca="false">IFERROR(O27/P27,0)</f>
        <v>0</v>
      </c>
    </row>
    <row r="28" customFormat="false" ht="15" hidden="false" customHeight="true" outlineLevel="0" collapsed="false">
      <c r="A28" s="4" t="s">
        <v>146</v>
      </c>
      <c r="B28" s="4" t="s">
        <v>147</v>
      </c>
      <c r="C28" s="4"/>
      <c r="D28" s="4"/>
      <c r="E28" s="4"/>
      <c r="F28" s="4" t="n">
        <v>265</v>
      </c>
      <c r="G28" s="4" t="n">
        <v>204</v>
      </c>
      <c r="H28" s="4" t="n">
        <v>112</v>
      </c>
      <c r="I28" s="4" t="n">
        <v>69</v>
      </c>
      <c r="J28" s="4" t="n">
        <v>68</v>
      </c>
      <c r="K28" s="4" t="n">
        <v>35</v>
      </c>
      <c r="L28" s="4" t="n">
        <v>7</v>
      </c>
      <c r="M28" s="4" t="n">
        <v>13</v>
      </c>
      <c r="N28" s="4" t="n">
        <v>11</v>
      </c>
      <c r="O28" s="4" t="n">
        <v>3</v>
      </c>
      <c r="P28" s="4" t="n">
        <f aca="false">SUM(F28:O28)</f>
        <v>787</v>
      </c>
      <c r="Q28" s="11" t="n">
        <f aca="false">IFERROR(F28/P28,0)</f>
        <v>0.336721728081321</v>
      </c>
      <c r="R28" s="11" t="n">
        <f aca="false">IFERROR(G28/P28,0)</f>
        <v>0.259212198221093</v>
      </c>
      <c r="S28" s="11" t="n">
        <f aca="false">IFERROR(H28/P28,0)</f>
        <v>0.142312579415502</v>
      </c>
      <c r="T28" s="11" t="n">
        <f aca="false">IFERROR(I28/P28,0)</f>
        <v>0.0876747141041931</v>
      </c>
      <c r="U28" s="11" t="n">
        <f aca="false">IFERROR(J28/P28,0)</f>
        <v>0.0864040660736976</v>
      </c>
      <c r="V28" s="11" t="n">
        <f aca="false">IFERROR(K28/P28,0)</f>
        <v>0.0444726810673443</v>
      </c>
      <c r="W28" s="11" t="n">
        <f aca="false">IFERROR(L28/P28,0)</f>
        <v>0.00889453621346887</v>
      </c>
      <c r="X28" s="11" t="n">
        <f aca="false">IFERROR(M28/P28,0)</f>
        <v>0.0165184243964422</v>
      </c>
      <c r="Y28" s="11" t="n">
        <f aca="false">IFERROR(N28/P28,0)</f>
        <v>0.0139771283354511</v>
      </c>
      <c r="Z28" s="11" t="n">
        <f aca="false">IFERROR(O28/P28,0)</f>
        <v>0.00381194409148666</v>
      </c>
    </row>
    <row r="29" customFormat="false" ht="15" hidden="false" customHeight="true" outlineLevel="0" collapsed="false">
      <c r="A29" s="3"/>
      <c r="B29" s="3" t="s">
        <v>148</v>
      </c>
      <c r="C29" s="3" t="n">
        <f aca="false">SUM(C2:C28)</f>
        <v>37352</v>
      </c>
      <c r="D29" s="3"/>
      <c r="E29" s="3"/>
      <c r="F29" s="3" t="n">
        <f aca="false">SUM(F2:F28)</f>
        <v>11486</v>
      </c>
      <c r="G29" s="3" t="n">
        <f aca="false">SUM(G2:G28)</f>
        <v>7336</v>
      </c>
      <c r="H29" s="3" t="n">
        <f aca="false">SUM(H2:H28)</f>
        <v>4041</v>
      </c>
      <c r="I29" s="3" t="n">
        <f aca="false">SUM(I2:I28)</f>
        <v>1929</v>
      </c>
      <c r="J29" s="3" t="n">
        <f aca="false">SUM(J2:J28)</f>
        <v>1736</v>
      </c>
      <c r="K29" s="3" t="n">
        <f aca="false">SUM(K2:K28)</f>
        <v>1066</v>
      </c>
      <c r="L29" s="3" t="n">
        <f aca="false">SUM(L2:L28)</f>
        <v>435</v>
      </c>
      <c r="M29" s="3" t="n">
        <f aca="false">SUM(M2:M28)</f>
        <v>357</v>
      </c>
      <c r="N29" s="3" t="n">
        <f aca="false">SUM(N2:N28)</f>
        <v>300</v>
      </c>
      <c r="O29" s="3" t="n">
        <f aca="false">SUM(O2:O28)</f>
        <v>106</v>
      </c>
      <c r="P29" s="3" t="n">
        <f aca="false">SUM(P2:P28)</f>
        <v>28792</v>
      </c>
      <c r="Q29" s="12" t="n">
        <f aca="false">F29/P29</f>
        <v>0.398930258405113</v>
      </c>
      <c r="R29" s="12" t="n">
        <f aca="false">G29/P29</f>
        <v>0.254792998055015</v>
      </c>
      <c r="S29" s="12" t="n">
        <f aca="false">H29/P29</f>
        <v>0.140351486524034</v>
      </c>
      <c r="T29" s="12" t="n">
        <f aca="false">I29/P29</f>
        <v>0.0669977771603223</v>
      </c>
      <c r="U29" s="12" t="n">
        <f aca="false">J29/P29</f>
        <v>0.0602945262572937</v>
      </c>
      <c r="V29" s="12" t="n">
        <f aca="false">K29/P29</f>
        <v>0.0370241733814949</v>
      </c>
      <c r="W29" s="12" t="n">
        <f aca="false">L29/P29</f>
        <v>0.0151083634342873</v>
      </c>
      <c r="X29" s="12" t="n">
        <f aca="false">M29/P29</f>
        <v>0.0123992775771048</v>
      </c>
      <c r="Y29" s="12" t="n">
        <f aca="false">N29/P29</f>
        <v>0.0104195609891637</v>
      </c>
      <c r="Z29" s="12" t="n">
        <f aca="false">O29/P29</f>
        <v>0.00368157821617116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24" min="3" style="1" width="9"/>
  </cols>
  <sheetData>
    <row r="1" customFormat="false" ht="34.5" hidden="false" customHeight="true" outlineLevel="0" collapsed="false">
      <c r="A1" s="10" t="s">
        <v>24</v>
      </c>
      <c r="B1" s="10" t="s">
        <v>25</v>
      </c>
      <c r="C1" s="10" t="s">
        <v>16</v>
      </c>
      <c r="D1" s="10" t="s">
        <v>142</v>
      </c>
      <c r="E1" s="10" t="s">
        <v>143</v>
      </c>
      <c r="F1" s="10" t="s">
        <v>99</v>
      </c>
      <c r="G1" s="10" t="s">
        <v>100</v>
      </c>
      <c r="H1" s="10" t="s">
        <v>101</v>
      </c>
      <c r="I1" s="10" t="s">
        <v>102</v>
      </c>
      <c r="J1" s="10" t="s">
        <v>103</v>
      </c>
      <c r="K1" s="10" t="s">
        <v>104</v>
      </c>
      <c r="L1" s="10" t="s">
        <v>106</v>
      </c>
      <c r="M1" s="10" t="s">
        <v>105</v>
      </c>
      <c r="N1" s="10" t="s">
        <v>12</v>
      </c>
      <c r="O1" s="10" t="s">
        <v>145</v>
      </c>
      <c r="P1" s="10" t="s">
        <v>126</v>
      </c>
      <c r="Q1" s="10" t="s">
        <v>128</v>
      </c>
      <c r="R1" s="10" t="s">
        <v>127</v>
      </c>
      <c r="S1" s="10" t="s">
        <v>129</v>
      </c>
      <c r="T1" s="10" t="s">
        <v>130</v>
      </c>
      <c r="U1" s="10" t="s">
        <v>132</v>
      </c>
      <c r="V1" s="10" t="s">
        <v>133</v>
      </c>
      <c r="W1" s="10" t="s">
        <v>131</v>
      </c>
      <c r="X1" s="10" t="s">
        <v>135</v>
      </c>
    </row>
    <row r="2" customFormat="false" ht="15" hidden="false" customHeight="true" outlineLevel="0" collapsed="false">
      <c r="A2" s="4" t="s">
        <v>44</v>
      </c>
      <c r="B2" s="4" t="s">
        <v>45</v>
      </c>
      <c r="C2" s="4" t="n">
        <v>1544</v>
      </c>
      <c r="D2" s="4" t="n">
        <v>75.06</v>
      </c>
      <c r="E2" s="4" t="n">
        <v>79.7</v>
      </c>
      <c r="F2" s="4" t="n">
        <v>335</v>
      </c>
      <c r="G2" s="4" t="n">
        <v>238</v>
      </c>
      <c r="H2" s="4" t="n">
        <v>203</v>
      </c>
      <c r="I2" s="4" t="n">
        <v>153</v>
      </c>
      <c r="J2" s="4" t="n">
        <v>75</v>
      </c>
      <c r="K2" s="4" t="n">
        <v>67</v>
      </c>
      <c r="L2" s="4" t="n">
        <v>31</v>
      </c>
      <c r="M2" s="4" t="n">
        <v>27</v>
      </c>
      <c r="N2" s="4" t="n">
        <v>12</v>
      </c>
      <c r="O2" s="4" t="n">
        <f aca="false">SUM(F2:N2)</f>
        <v>1141</v>
      </c>
      <c r="P2" s="11" t="n">
        <f aca="false">IFERROR(F2/O2,0)</f>
        <v>0.293602103418054</v>
      </c>
      <c r="Q2" s="11" t="n">
        <f aca="false">IFERROR(G2/O2,0)</f>
        <v>0.208588957055215</v>
      </c>
      <c r="R2" s="11" t="n">
        <f aca="false">IFERROR(H2/O2,0)</f>
        <v>0.177914110429448</v>
      </c>
      <c r="S2" s="11" t="n">
        <f aca="false">IFERROR(I2/O2,0)</f>
        <v>0.134092900964067</v>
      </c>
      <c r="T2" s="11" t="n">
        <f aca="false">IFERROR(J2/O2,0)</f>
        <v>0.0657318141980719</v>
      </c>
      <c r="U2" s="11" t="n">
        <f aca="false">IFERROR(K2/O2,0)</f>
        <v>0.0587204206836109</v>
      </c>
      <c r="V2" s="11" t="n">
        <f aca="false">IFERROR(L2/O2,0)</f>
        <v>0.0271691498685364</v>
      </c>
      <c r="W2" s="11" t="n">
        <f aca="false">IFERROR(M2/O2,0)</f>
        <v>0.0236634531113059</v>
      </c>
      <c r="X2" s="11" t="n">
        <f aca="false">IFERROR(N2/O2,0)</f>
        <v>0.0105170902716915</v>
      </c>
    </row>
    <row r="3" customFormat="false" ht="15" hidden="false" customHeight="true" outlineLevel="0" collapsed="false">
      <c r="A3" s="4" t="s">
        <v>46</v>
      </c>
      <c r="B3" s="4" t="s">
        <v>47</v>
      </c>
      <c r="C3" s="4" t="n">
        <v>1518</v>
      </c>
      <c r="D3" s="4" t="n">
        <v>74.9</v>
      </c>
      <c r="E3" s="4" t="n">
        <v>70.52</v>
      </c>
      <c r="F3" s="4" t="n">
        <v>369</v>
      </c>
      <c r="G3" s="4" t="n">
        <v>216</v>
      </c>
      <c r="H3" s="4" t="n">
        <v>155</v>
      </c>
      <c r="I3" s="4" t="n">
        <v>129</v>
      </c>
      <c r="J3" s="4" t="n">
        <v>128</v>
      </c>
      <c r="K3" s="4" t="n">
        <v>53</v>
      </c>
      <c r="L3" s="4" t="n">
        <v>42</v>
      </c>
      <c r="M3" s="4" t="n">
        <v>20</v>
      </c>
      <c r="N3" s="4" t="n">
        <v>6</v>
      </c>
      <c r="O3" s="4" t="n">
        <f aca="false">SUM(F3:N3)</f>
        <v>1118</v>
      </c>
      <c r="P3" s="11" t="n">
        <f aca="false">IFERROR(F3/O3,0)</f>
        <v>0.33005366726297</v>
      </c>
      <c r="Q3" s="11" t="n">
        <f aca="false">IFERROR(G3/O3,0)</f>
        <v>0.193202146690519</v>
      </c>
      <c r="R3" s="11" t="n">
        <f aca="false">IFERROR(H3/O3,0)</f>
        <v>0.138640429338104</v>
      </c>
      <c r="S3" s="11" t="n">
        <f aca="false">IFERROR(I3/O3,0)</f>
        <v>0.115384615384615</v>
      </c>
      <c r="T3" s="11" t="n">
        <f aca="false">IFERROR(J3/O3,0)</f>
        <v>0.114490161001789</v>
      </c>
      <c r="U3" s="11" t="n">
        <f aca="false">IFERROR(K3/O3,0)</f>
        <v>0.0474060822898032</v>
      </c>
      <c r="V3" s="11" t="n">
        <f aca="false">IFERROR(L3/O3,0)</f>
        <v>0.037567084078712</v>
      </c>
      <c r="W3" s="11" t="n">
        <f aca="false">IFERROR(M3/O3,0)</f>
        <v>0.0178890876565295</v>
      </c>
      <c r="X3" s="11" t="n">
        <f aca="false">IFERROR(N3/O3,0)</f>
        <v>0.00536672629695886</v>
      </c>
    </row>
    <row r="4" customFormat="false" ht="15" hidden="false" customHeight="true" outlineLevel="0" collapsed="false">
      <c r="A4" s="4" t="s">
        <v>48</v>
      </c>
      <c r="B4" s="4" t="s">
        <v>49</v>
      </c>
      <c r="C4" s="4" t="n">
        <v>1754</v>
      </c>
      <c r="D4" s="4" t="n">
        <v>66.36</v>
      </c>
      <c r="E4" s="4" t="n">
        <v>63</v>
      </c>
      <c r="F4" s="4" t="n">
        <v>472</v>
      </c>
      <c r="G4" s="4" t="n">
        <v>183</v>
      </c>
      <c r="H4" s="4" t="n">
        <v>115</v>
      </c>
      <c r="I4" s="4" t="n">
        <v>91</v>
      </c>
      <c r="J4" s="4" t="n">
        <v>171</v>
      </c>
      <c r="K4" s="4" t="n">
        <v>36</v>
      </c>
      <c r="L4" s="4" t="n">
        <v>42</v>
      </c>
      <c r="M4" s="4" t="n">
        <v>19</v>
      </c>
      <c r="N4" s="4" t="n">
        <v>14</v>
      </c>
      <c r="O4" s="4" t="n">
        <f aca="false">SUM(F4:N4)</f>
        <v>1143</v>
      </c>
      <c r="P4" s="11" t="n">
        <f aca="false">IFERROR(F4/O4,0)</f>
        <v>0.412948381452318</v>
      </c>
      <c r="Q4" s="11" t="n">
        <f aca="false">IFERROR(G4/O4,0)</f>
        <v>0.16010498687664</v>
      </c>
      <c r="R4" s="11" t="n">
        <f aca="false">IFERROR(H4/O4,0)</f>
        <v>0.100612423447069</v>
      </c>
      <c r="S4" s="11" t="n">
        <f aca="false">IFERROR(I4/O4,0)</f>
        <v>0.0796150481189851</v>
      </c>
      <c r="T4" s="11" t="n">
        <f aca="false">IFERROR(J4/O4,0)</f>
        <v>0.149606299212598</v>
      </c>
      <c r="U4" s="11" t="n">
        <f aca="false">IFERROR(K4/O4,0)</f>
        <v>0.031496062992126</v>
      </c>
      <c r="V4" s="11" t="n">
        <f aca="false">IFERROR(L4/O4,0)</f>
        <v>0.036745406824147</v>
      </c>
      <c r="W4" s="11" t="n">
        <f aca="false">IFERROR(M4/O4,0)</f>
        <v>0.0166229221347332</v>
      </c>
      <c r="X4" s="11" t="n">
        <f aca="false">IFERROR(N4/O4,0)</f>
        <v>0.0122484689413823</v>
      </c>
    </row>
    <row r="5" customFormat="false" ht="15" hidden="false" customHeight="true" outlineLevel="0" collapsed="false">
      <c r="A5" s="4" t="s">
        <v>50</v>
      </c>
      <c r="B5" s="4" t="s">
        <v>51</v>
      </c>
      <c r="C5" s="4" t="n">
        <v>1717</v>
      </c>
      <c r="D5" s="4" t="n">
        <v>68.26</v>
      </c>
      <c r="E5" s="4" t="n">
        <v>62.67</v>
      </c>
      <c r="F5" s="4" t="n">
        <v>388</v>
      </c>
      <c r="G5" s="4" t="n">
        <v>238</v>
      </c>
      <c r="H5" s="4" t="n">
        <v>145</v>
      </c>
      <c r="I5" s="4" t="n">
        <v>130</v>
      </c>
      <c r="J5" s="4" t="n">
        <v>120</v>
      </c>
      <c r="K5" s="4" t="n">
        <v>41</v>
      </c>
      <c r="L5" s="4" t="n">
        <v>52</v>
      </c>
      <c r="M5" s="4" t="n">
        <v>24</v>
      </c>
      <c r="N5" s="4" t="n">
        <v>8</v>
      </c>
      <c r="O5" s="4" t="n">
        <f aca="false">SUM(F5:N5)</f>
        <v>1146</v>
      </c>
      <c r="P5" s="11" t="n">
        <f aca="false">IFERROR(F5/O5,0)</f>
        <v>0.338568935427574</v>
      </c>
      <c r="Q5" s="11" t="n">
        <f aca="false">IFERROR(G5/O5,0)</f>
        <v>0.207678883071553</v>
      </c>
      <c r="R5" s="11" t="n">
        <f aca="false">IFERROR(H5/O5,0)</f>
        <v>0.12652705061082</v>
      </c>
      <c r="S5" s="11" t="n">
        <f aca="false">IFERROR(I5/O5,0)</f>
        <v>0.113438045375218</v>
      </c>
      <c r="T5" s="11" t="n">
        <f aca="false">IFERROR(J5/O5,0)</f>
        <v>0.104712041884817</v>
      </c>
      <c r="U5" s="11" t="n">
        <f aca="false">IFERROR(K5/O5,0)</f>
        <v>0.0357766143106457</v>
      </c>
      <c r="V5" s="11" t="n">
        <f aca="false">IFERROR(L5/O5,0)</f>
        <v>0.0453752181500873</v>
      </c>
      <c r="W5" s="11" t="n">
        <f aca="false">IFERROR(M5/O5,0)</f>
        <v>0.0209424083769634</v>
      </c>
      <c r="X5" s="11" t="n">
        <f aca="false">IFERROR(N5/O5,0)</f>
        <v>0.00698080279232112</v>
      </c>
    </row>
    <row r="6" customFormat="false" ht="15" hidden="false" customHeight="true" outlineLevel="0" collapsed="false">
      <c r="A6" s="4" t="s">
        <v>52</v>
      </c>
      <c r="B6" s="4" t="s">
        <v>53</v>
      </c>
      <c r="C6" s="4" t="n">
        <v>1649</v>
      </c>
      <c r="D6" s="4" t="n">
        <v>61.43</v>
      </c>
      <c r="E6" s="4" t="n">
        <v>53.91</v>
      </c>
      <c r="F6" s="4" t="n">
        <v>459</v>
      </c>
      <c r="G6" s="4" t="n">
        <v>123</v>
      </c>
      <c r="H6" s="4" t="n">
        <v>85</v>
      </c>
      <c r="I6" s="4" t="n">
        <v>51</v>
      </c>
      <c r="J6" s="4" t="n">
        <v>226</v>
      </c>
      <c r="K6" s="4" t="n">
        <v>12</v>
      </c>
      <c r="L6" s="4" t="n">
        <v>25</v>
      </c>
      <c r="M6" s="4" t="n">
        <v>14</v>
      </c>
      <c r="N6" s="4" t="n">
        <v>5</v>
      </c>
      <c r="O6" s="4" t="n">
        <f aca="false">SUM(F6:N6)</f>
        <v>1000</v>
      </c>
      <c r="P6" s="11" t="n">
        <f aca="false">IFERROR(F6/O6,0)</f>
        <v>0.459</v>
      </c>
      <c r="Q6" s="11" t="n">
        <f aca="false">IFERROR(G6/O6,0)</f>
        <v>0.123</v>
      </c>
      <c r="R6" s="11" t="n">
        <f aca="false">IFERROR(H6/O6,0)</f>
        <v>0.085</v>
      </c>
      <c r="S6" s="11" t="n">
        <f aca="false">IFERROR(I6/O6,0)</f>
        <v>0.051</v>
      </c>
      <c r="T6" s="11" t="n">
        <f aca="false">IFERROR(J6/O6,0)</f>
        <v>0.226</v>
      </c>
      <c r="U6" s="11" t="n">
        <f aca="false">IFERROR(K6/O6,0)</f>
        <v>0.012</v>
      </c>
      <c r="V6" s="11" t="n">
        <f aca="false">IFERROR(L6/O6,0)</f>
        <v>0.025</v>
      </c>
      <c r="W6" s="11" t="n">
        <f aca="false">IFERROR(M6/O6,0)</f>
        <v>0.014</v>
      </c>
      <c r="X6" s="11" t="n">
        <f aca="false">IFERROR(N6/O6,0)</f>
        <v>0.005</v>
      </c>
    </row>
    <row r="7" customFormat="false" ht="15" hidden="false" customHeight="true" outlineLevel="0" collapsed="false">
      <c r="A7" s="4" t="s">
        <v>54</v>
      </c>
      <c r="B7" s="4" t="s">
        <v>55</v>
      </c>
      <c r="C7" s="4" t="n">
        <v>1795</v>
      </c>
      <c r="D7" s="4" t="n">
        <v>59.83</v>
      </c>
      <c r="E7" s="4" t="n">
        <v>54.98</v>
      </c>
      <c r="F7" s="4" t="n">
        <v>463</v>
      </c>
      <c r="G7" s="4" t="n">
        <v>158</v>
      </c>
      <c r="H7" s="4" t="n">
        <v>99</v>
      </c>
      <c r="I7" s="4" t="n">
        <v>71</v>
      </c>
      <c r="J7" s="4" t="n">
        <v>190</v>
      </c>
      <c r="K7" s="4" t="n">
        <v>33</v>
      </c>
      <c r="L7" s="4" t="n">
        <v>26</v>
      </c>
      <c r="M7" s="4" t="n">
        <v>12</v>
      </c>
      <c r="N7" s="4" t="n">
        <v>11</v>
      </c>
      <c r="O7" s="4" t="n">
        <f aca="false">SUM(F7:N7)</f>
        <v>1063</v>
      </c>
      <c r="P7" s="11" t="n">
        <f aca="false">IFERROR(F7/O7,0)</f>
        <v>0.435559736594544</v>
      </c>
      <c r="Q7" s="11" t="n">
        <f aca="false">IFERROR(G7/O7,0)</f>
        <v>0.148635936030103</v>
      </c>
      <c r="R7" s="11" t="n">
        <f aca="false">IFERROR(H7/O7,0)</f>
        <v>0.0931326434619003</v>
      </c>
      <c r="S7" s="11" t="n">
        <f aca="false">IFERROR(I7/O7,0)</f>
        <v>0.0667920978363123</v>
      </c>
      <c r="T7" s="11" t="n">
        <f aca="false">IFERROR(J7/O7,0)</f>
        <v>0.178739416745061</v>
      </c>
      <c r="U7" s="11" t="n">
        <f aca="false">IFERROR(K7/O7,0)</f>
        <v>0.0310442144873001</v>
      </c>
      <c r="V7" s="11" t="n">
        <f aca="false">IFERROR(L7/O7,0)</f>
        <v>0.0244590780809031</v>
      </c>
      <c r="W7" s="11" t="n">
        <f aca="false">IFERROR(M7/O7,0)</f>
        <v>0.0112888052681091</v>
      </c>
      <c r="X7" s="11" t="n">
        <f aca="false">IFERROR(N7/O7,0)</f>
        <v>0.0103480714957667</v>
      </c>
    </row>
    <row r="8" customFormat="false" ht="15" hidden="false" customHeight="true" outlineLevel="0" collapsed="false">
      <c r="A8" s="4" t="s">
        <v>56</v>
      </c>
      <c r="B8" s="4" t="s">
        <v>57</v>
      </c>
      <c r="C8" s="4" t="n">
        <v>1138</v>
      </c>
      <c r="D8" s="4" t="n">
        <v>76.27</v>
      </c>
      <c r="E8" s="4" t="n">
        <v>75.38</v>
      </c>
      <c r="F8" s="4" t="n">
        <v>300</v>
      </c>
      <c r="G8" s="4" t="n">
        <v>126</v>
      </c>
      <c r="H8" s="4" t="n">
        <v>128</v>
      </c>
      <c r="I8" s="4" t="n">
        <v>127</v>
      </c>
      <c r="J8" s="4" t="n">
        <v>69</v>
      </c>
      <c r="K8" s="4" t="n">
        <v>31</v>
      </c>
      <c r="L8" s="4" t="n">
        <v>42</v>
      </c>
      <c r="M8" s="4" t="n">
        <v>22</v>
      </c>
      <c r="N8" s="4" t="n">
        <v>7</v>
      </c>
      <c r="O8" s="4" t="n">
        <f aca="false">SUM(F8:N8)</f>
        <v>852</v>
      </c>
      <c r="P8" s="11" t="n">
        <f aca="false">IFERROR(F8/O8,0)</f>
        <v>0.352112676056338</v>
      </c>
      <c r="Q8" s="11" t="n">
        <f aca="false">IFERROR(G8/O8,0)</f>
        <v>0.147887323943662</v>
      </c>
      <c r="R8" s="11" t="n">
        <f aca="false">IFERROR(H8/O8,0)</f>
        <v>0.150234741784038</v>
      </c>
      <c r="S8" s="11" t="n">
        <f aca="false">IFERROR(I8/O8,0)</f>
        <v>0.14906103286385</v>
      </c>
      <c r="T8" s="11" t="n">
        <f aca="false">IFERROR(J8/O8,0)</f>
        <v>0.0809859154929578</v>
      </c>
      <c r="U8" s="11" t="n">
        <f aca="false">IFERROR(K8/O8,0)</f>
        <v>0.0363849765258216</v>
      </c>
      <c r="V8" s="11" t="n">
        <f aca="false">IFERROR(L8/O8,0)</f>
        <v>0.0492957746478873</v>
      </c>
      <c r="W8" s="11" t="n">
        <f aca="false">IFERROR(M8/O8,0)</f>
        <v>0.0258215962441315</v>
      </c>
      <c r="X8" s="11" t="n">
        <f aca="false">IFERROR(N8/O8,0)</f>
        <v>0.00821596244131456</v>
      </c>
    </row>
    <row r="9" customFormat="false" ht="15" hidden="false" customHeight="true" outlineLevel="0" collapsed="false">
      <c r="A9" s="4" t="s">
        <v>58</v>
      </c>
      <c r="B9" s="4" t="s">
        <v>59</v>
      </c>
      <c r="C9" s="4" t="n">
        <v>1725</v>
      </c>
      <c r="D9" s="4" t="n">
        <v>65.22</v>
      </c>
      <c r="E9" s="4" t="n">
        <v>62.31</v>
      </c>
      <c r="F9" s="4" t="n">
        <v>444</v>
      </c>
      <c r="G9" s="4" t="n">
        <v>224</v>
      </c>
      <c r="H9" s="4" t="n">
        <v>106</v>
      </c>
      <c r="I9" s="4" t="n">
        <v>80</v>
      </c>
      <c r="J9" s="4" t="n">
        <v>121</v>
      </c>
      <c r="K9" s="4" t="n">
        <v>51</v>
      </c>
      <c r="L9" s="4" t="n">
        <v>41</v>
      </c>
      <c r="M9" s="4" t="n">
        <v>23</v>
      </c>
      <c r="N9" s="4" t="n">
        <v>11</v>
      </c>
      <c r="O9" s="4" t="n">
        <f aca="false">SUM(F9:N9)</f>
        <v>1101</v>
      </c>
      <c r="P9" s="11" t="n">
        <f aca="false">IFERROR(F9/O9,0)</f>
        <v>0.403269754768392</v>
      </c>
      <c r="Q9" s="11" t="n">
        <f aca="false">IFERROR(G9/O9,0)</f>
        <v>0.203451407811081</v>
      </c>
      <c r="R9" s="11" t="n">
        <f aca="false">IFERROR(H9/O9,0)</f>
        <v>0.0962761126248865</v>
      </c>
      <c r="S9" s="11" t="n">
        <f aca="false">IFERROR(I9/O9,0)</f>
        <v>0.072661217075386</v>
      </c>
      <c r="T9" s="11" t="n">
        <f aca="false">IFERROR(J9/O9,0)</f>
        <v>0.109900090826521</v>
      </c>
      <c r="U9" s="11" t="n">
        <f aca="false">IFERROR(K9/O9,0)</f>
        <v>0.0463215258855586</v>
      </c>
      <c r="V9" s="11" t="n">
        <f aca="false">IFERROR(L9/O9,0)</f>
        <v>0.0372388737511353</v>
      </c>
      <c r="W9" s="11" t="n">
        <f aca="false">IFERROR(M9/O9,0)</f>
        <v>0.0208900999091735</v>
      </c>
      <c r="X9" s="11" t="n">
        <f aca="false">IFERROR(N9/O9,0)</f>
        <v>0.00999091734786558</v>
      </c>
    </row>
    <row r="10" customFormat="false" ht="15" hidden="false" customHeight="true" outlineLevel="0" collapsed="false">
      <c r="A10" s="4" t="s">
        <v>60</v>
      </c>
      <c r="B10" s="4" t="s">
        <v>61</v>
      </c>
      <c r="C10" s="4" t="n">
        <v>1510</v>
      </c>
      <c r="D10" s="4" t="n">
        <v>74.5</v>
      </c>
      <c r="E10" s="4" t="n">
        <v>73.26</v>
      </c>
      <c r="F10" s="4" t="n">
        <v>384</v>
      </c>
      <c r="G10" s="4" t="n">
        <v>253</v>
      </c>
      <c r="H10" s="4" t="n">
        <v>155</v>
      </c>
      <c r="I10" s="4" t="n">
        <v>104</v>
      </c>
      <c r="J10" s="4" t="n">
        <v>86</v>
      </c>
      <c r="K10" s="4" t="n">
        <v>58</v>
      </c>
      <c r="L10" s="4" t="n">
        <v>38</v>
      </c>
      <c r="M10" s="4" t="n">
        <v>15</v>
      </c>
      <c r="N10" s="4" t="n">
        <v>2</v>
      </c>
      <c r="O10" s="4" t="n">
        <f aca="false">SUM(F10:N10)</f>
        <v>1095</v>
      </c>
      <c r="P10" s="11" t="n">
        <f aca="false">IFERROR(F10/O10,0)</f>
        <v>0.350684931506849</v>
      </c>
      <c r="Q10" s="11" t="n">
        <f aca="false">IFERROR(G10/O10,0)</f>
        <v>0.231050228310502</v>
      </c>
      <c r="R10" s="11" t="n">
        <f aca="false">IFERROR(H10/O10,0)</f>
        <v>0.141552511415525</v>
      </c>
      <c r="S10" s="11" t="n">
        <f aca="false">IFERROR(I10/O10,0)</f>
        <v>0.0949771689497717</v>
      </c>
      <c r="T10" s="11" t="n">
        <f aca="false">IFERROR(J10/O10,0)</f>
        <v>0.0785388127853881</v>
      </c>
      <c r="U10" s="11" t="n">
        <f aca="false">IFERROR(K10/O10,0)</f>
        <v>0.0529680365296804</v>
      </c>
      <c r="V10" s="11" t="n">
        <f aca="false">IFERROR(L10/O10,0)</f>
        <v>0.034703196347032</v>
      </c>
      <c r="W10" s="11" t="n">
        <f aca="false">IFERROR(M10/O10,0)</f>
        <v>0.0136986301369863</v>
      </c>
      <c r="X10" s="11" t="n">
        <f aca="false">IFERROR(N10/O10,0)</f>
        <v>0.00182648401826484</v>
      </c>
    </row>
    <row r="11" customFormat="false" ht="15" hidden="false" customHeight="true" outlineLevel="0" collapsed="false">
      <c r="A11" s="4" t="s">
        <v>62</v>
      </c>
      <c r="B11" s="4" t="s">
        <v>63</v>
      </c>
      <c r="C11" s="4" t="n">
        <v>1040</v>
      </c>
      <c r="D11" s="4" t="n">
        <v>75.87</v>
      </c>
      <c r="E11" s="4" t="n">
        <v>75.57</v>
      </c>
      <c r="F11" s="4" t="n">
        <v>283</v>
      </c>
      <c r="G11" s="4" t="n">
        <v>226</v>
      </c>
      <c r="H11" s="4" t="n">
        <v>94</v>
      </c>
      <c r="I11" s="4" t="n">
        <v>53</v>
      </c>
      <c r="J11" s="4" t="n">
        <v>63</v>
      </c>
      <c r="K11" s="4" t="n">
        <v>27</v>
      </c>
      <c r="L11" s="4" t="n">
        <v>14</v>
      </c>
      <c r="M11" s="4" t="n">
        <v>3</v>
      </c>
      <c r="N11" s="4" t="n">
        <v>7</v>
      </c>
      <c r="O11" s="4" t="n">
        <f aca="false">SUM(F11:N11)</f>
        <v>770</v>
      </c>
      <c r="P11" s="11" t="n">
        <f aca="false">IFERROR(F11/O11,0)</f>
        <v>0.367532467532468</v>
      </c>
      <c r="Q11" s="11" t="n">
        <f aca="false">IFERROR(G11/O11,0)</f>
        <v>0.293506493506494</v>
      </c>
      <c r="R11" s="11" t="n">
        <f aca="false">IFERROR(H11/O11,0)</f>
        <v>0.122077922077922</v>
      </c>
      <c r="S11" s="11" t="n">
        <f aca="false">IFERROR(I11/O11,0)</f>
        <v>0.0688311688311688</v>
      </c>
      <c r="T11" s="11" t="n">
        <f aca="false">IFERROR(J11/O11,0)</f>
        <v>0.0818181818181818</v>
      </c>
      <c r="U11" s="11" t="n">
        <f aca="false">IFERROR(K11/O11,0)</f>
        <v>0.0350649350649351</v>
      </c>
      <c r="V11" s="11" t="n">
        <f aca="false">IFERROR(L11/O11,0)</f>
        <v>0.0181818181818182</v>
      </c>
      <c r="W11" s="11" t="n">
        <f aca="false">IFERROR(M11/O11,0)</f>
        <v>0.0038961038961039</v>
      </c>
      <c r="X11" s="11" t="n">
        <f aca="false">IFERROR(N11/O11,0)</f>
        <v>0.00909090909090909</v>
      </c>
    </row>
    <row r="12" customFormat="false" ht="15" hidden="false" customHeight="true" outlineLevel="0" collapsed="false">
      <c r="A12" s="4" t="s">
        <v>64</v>
      </c>
      <c r="B12" s="4" t="s">
        <v>65</v>
      </c>
      <c r="C12" s="4" t="n">
        <v>1161</v>
      </c>
      <c r="D12" s="4" t="n">
        <v>77.86</v>
      </c>
      <c r="E12" s="4" t="n">
        <v>80.16</v>
      </c>
      <c r="F12" s="4" t="n">
        <v>402</v>
      </c>
      <c r="G12" s="4" t="n">
        <v>113</v>
      </c>
      <c r="H12" s="4" t="n">
        <v>118</v>
      </c>
      <c r="I12" s="4" t="n">
        <v>98</v>
      </c>
      <c r="J12" s="4" t="n">
        <v>75</v>
      </c>
      <c r="K12" s="4" t="n">
        <v>52</v>
      </c>
      <c r="L12" s="4" t="n">
        <v>23</v>
      </c>
      <c r="M12" s="4" t="n">
        <v>13</v>
      </c>
      <c r="N12" s="4" t="n">
        <v>2</v>
      </c>
      <c r="O12" s="4" t="n">
        <f aca="false">SUM(F12:N12)</f>
        <v>896</v>
      </c>
      <c r="P12" s="11" t="n">
        <f aca="false">IFERROR(F12/O12,0)</f>
        <v>0.448660714285714</v>
      </c>
      <c r="Q12" s="11" t="n">
        <f aca="false">IFERROR(G12/O12,0)</f>
        <v>0.126116071428571</v>
      </c>
      <c r="R12" s="11" t="n">
        <f aca="false">IFERROR(H12/O12,0)</f>
        <v>0.131696428571429</v>
      </c>
      <c r="S12" s="11" t="n">
        <f aca="false">IFERROR(I12/O12,0)</f>
        <v>0.109375</v>
      </c>
      <c r="T12" s="11" t="n">
        <f aca="false">IFERROR(J12/O12,0)</f>
        <v>0.0837053571428571</v>
      </c>
      <c r="U12" s="11" t="n">
        <f aca="false">IFERROR(K12/O12,0)</f>
        <v>0.0580357142857143</v>
      </c>
      <c r="V12" s="11" t="n">
        <f aca="false">IFERROR(L12/O12,0)</f>
        <v>0.0256696428571429</v>
      </c>
      <c r="W12" s="11" t="n">
        <f aca="false">IFERROR(M12/O12,0)</f>
        <v>0.0145089285714286</v>
      </c>
      <c r="X12" s="11" t="n">
        <f aca="false">IFERROR(N12/O12,0)</f>
        <v>0.00223214285714286</v>
      </c>
    </row>
    <row r="13" customFormat="false" ht="15" hidden="false" customHeight="true" outlineLevel="0" collapsed="false">
      <c r="A13" s="4" t="s">
        <v>66</v>
      </c>
      <c r="B13" s="4" t="s">
        <v>67</v>
      </c>
      <c r="C13" s="4" t="n">
        <v>1742</v>
      </c>
      <c r="D13" s="4" t="n">
        <v>60.16</v>
      </c>
      <c r="E13" s="4" t="n">
        <v>54.51</v>
      </c>
      <c r="F13" s="4" t="n">
        <v>474</v>
      </c>
      <c r="G13" s="4" t="n">
        <v>119</v>
      </c>
      <c r="H13" s="4" t="n">
        <v>49</v>
      </c>
      <c r="I13" s="4" t="n">
        <v>36</v>
      </c>
      <c r="J13" s="4" t="n">
        <v>310</v>
      </c>
      <c r="K13" s="4" t="n">
        <v>9</v>
      </c>
      <c r="L13" s="4" t="n">
        <v>27</v>
      </c>
      <c r="M13" s="4" t="n">
        <v>8</v>
      </c>
      <c r="N13" s="4" t="n">
        <v>7</v>
      </c>
      <c r="O13" s="4" t="n">
        <f aca="false">SUM(F13:N13)</f>
        <v>1039</v>
      </c>
      <c r="P13" s="11" t="n">
        <f aca="false">IFERROR(F13/O13,0)</f>
        <v>0.456207892204042</v>
      </c>
      <c r="Q13" s="11" t="n">
        <f aca="false">IFERROR(G13/O13,0)</f>
        <v>0.114533205004812</v>
      </c>
      <c r="R13" s="11" t="n">
        <f aca="false">IFERROR(H13/O13,0)</f>
        <v>0.0471607314725698</v>
      </c>
      <c r="S13" s="11" t="n">
        <f aca="false">IFERROR(I13/O13,0)</f>
        <v>0.0346487006737247</v>
      </c>
      <c r="T13" s="11" t="n">
        <f aca="false">IFERROR(J13/O13,0)</f>
        <v>0.298363811357074</v>
      </c>
      <c r="U13" s="11" t="n">
        <f aca="false">IFERROR(K13/O13,0)</f>
        <v>0.00866217516843118</v>
      </c>
      <c r="V13" s="11" t="n">
        <f aca="false">IFERROR(L13/O13,0)</f>
        <v>0.0259865255052936</v>
      </c>
      <c r="W13" s="11" t="n">
        <f aca="false">IFERROR(M13/O13,0)</f>
        <v>0.00769971126082772</v>
      </c>
      <c r="X13" s="11" t="n">
        <f aca="false">IFERROR(N13/O13,0)</f>
        <v>0.00673724735322425</v>
      </c>
    </row>
    <row r="14" customFormat="false" ht="15" hidden="false" customHeight="true" outlineLevel="0" collapsed="false">
      <c r="A14" s="4" t="s">
        <v>68</v>
      </c>
      <c r="B14" s="4" t="s">
        <v>69</v>
      </c>
      <c r="C14" s="4" t="n">
        <v>1652</v>
      </c>
      <c r="D14" s="4" t="n">
        <v>66.65</v>
      </c>
      <c r="E14" s="4" t="n">
        <v>60.44</v>
      </c>
      <c r="F14" s="4" t="n">
        <v>460</v>
      </c>
      <c r="G14" s="4" t="n">
        <v>148</v>
      </c>
      <c r="H14" s="4" t="n">
        <v>112</v>
      </c>
      <c r="I14" s="4" t="n">
        <v>79</v>
      </c>
      <c r="J14" s="4" t="n">
        <v>193</v>
      </c>
      <c r="K14" s="4" t="n">
        <v>29</v>
      </c>
      <c r="L14" s="4" t="n">
        <v>37</v>
      </c>
      <c r="M14" s="4" t="n">
        <v>18</v>
      </c>
      <c r="N14" s="4" t="n">
        <v>5</v>
      </c>
      <c r="O14" s="4" t="n">
        <f aca="false">SUM(F14:N14)</f>
        <v>1081</v>
      </c>
      <c r="P14" s="11" t="n">
        <f aca="false">IFERROR(F14/O14,0)</f>
        <v>0.425531914893617</v>
      </c>
      <c r="Q14" s="11" t="n">
        <f aca="false">IFERROR(G14/O14,0)</f>
        <v>0.13691026827012</v>
      </c>
      <c r="R14" s="11" t="n">
        <f aca="false">IFERROR(H14/O14,0)</f>
        <v>0.103607770582794</v>
      </c>
      <c r="S14" s="11" t="n">
        <f aca="false">IFERROR(I14/O14,0)</f>
        <v>0.0730804810360777</v>
      </c>
      <c r="T14" s="11" t="n">
        <f aca="false">IFERROR(J14/O14,0)</f>
        <v>0.178538390379278</v>
      </c>
      <c r="U14" s="11" t="n">
        <f aca="false">IFERROR(K14/O14,0)</f>
        <v>0.0268270120259019</v>
      </c>
      <c r="V14" s="11" t="n">
        <f aca="false">IFERROR(L14/O14,0)</f>
        <v>0.0342275670675301</v>
      </c>
      <c r="W14" s="11" t="n">
        <f aca="false">IFERROR(M14/O14,0)</f>
        <v>0.0166512488436633</v>
      </c>
      <c r="X14" s="11" t="n">
        <f aca="false">IFERROR(N14/O14,0)</f>
        <v>0.00462534690101758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4" t="n">
        <v>1468</v>
      </c>
      <c r="D15" s="4" t="n">
        <v>84.6</v>
      </c>
      <c r="E15" s="4" t="n">
        <v>81.92</v>
      </c>
      <c r="F15" s="4" t="n">
        <v>531</v>
      </c>
      <c r="G15" s="4" t="n">
        <v>214</v>
      </c>
      <c r="H15" s="4" t="n">
        <v>171</v>
      </c>
      <c r="I15" s="4" t="n">
        <v>139</v>
      </c>
      <c r="J15" s="4" t="n">
        <v>57</v>
      </c>
      <c r="K15" s="4" t="n">
        <v>55</v>
      </c>
      <c r="L15" s="4" t="n">
        <v>26</v>
      </c>
      <c r="M15" s="4" t="n">
        <v>16</v>
      </c>
      <c r="N15" s="4" t="n">
        <v>8</v>
      </c>
      <c r="O15" s="4" t="n">
        <f aca="false">SUM(F15:N15)</f>
        <v>1217</v>
      </c>
      <c r="P15" s="11" t="n">
        <f aca="false">IFERROR(F15/O15,0)</f>
        <v>0.436318816762531</v>
      </c>
      <c r="Q15" s="11" t="n">
        <f aca="false">IFERROR(G15/O15,0)</f>
        <v>0.175842235004108</v>
      </c>
      <c r="R15" s="11" t="n">
        <f aca="false">IFERROR(H15/O15,0)</f>
        <v>0.1405094494659</v>
      </c>
      <c r="S15" s="11" t="n">
        <f aca="false">IFERROR(I15/O15,0)</f>
        <v>0.114215283483977</v>
      </c>
      <c r="T15" s="11" t="n">
        <f aca="false">IFERROR(J15/O15,0)</f>
        <v>0.0468364831552999</v>
      </c>
      <c r="U15" s="11" t="n">
        <f aca="false">IFERROR(K15/O15,0)</f>
        <v>0.0451930977814297</v>
      </c>
      <c r="V15" s="11" t="n">
        <f aca="false">IFERROR(L15/O15,0)</f>
        <v>0.0213640098603122</v>
      </c>
      <c r="W15" s="11" t="n">
        <f aca="false">IFERROR(M15/O15,0)</f>
        <v>0.0131470829909614</v>
      </c>
      <c r="X15" s="11" t="n">
        <f aca="false">IFERROR(N15/O15,0)</f>
        <v>0.00657354149548069</v>
      </c>
    </row>
    <row r="16" customFormat="false" ht="15" hidden="false" customHeight="true" outlineLevel="0" collapsed="false">
      <c r="A16" s="4" t="s">
        <v>72</v>
      </c>
      <c r="B16" s="4" t="s">
        <v>73</v>
      </c>
      <c r="C16" s="4" t="n">
        <v>1565</v>
      </c>
      <c r="D16" s="4" t="n">
        <v>88.43</v>
      </c>
      <c r="E16" s="4" t="n">
        <v>89.66</v>
      </c>
      <c r="F16" s="4" t="n">
        <v>466</v>
      </c>
      <c r="G16" s="4" t="n">
        <v>203</v>
      </c>
      <c r="H16" s="4" t="n">
        <v>279</v>
      </c>
      <c r="I16" s="4" t="n">
        <v>231</v>
      </c>
      <c r="J16" s="4" t="n">
        <v>30</v>
      </c>
      <c r="K16" s="4" t="n">
        <v>79</v>
      </c>
      <c r="L16" s="4" t="n">
        <v>34</v>
      </c>
      <c r="M16" s="4" t="n">
        <v>25</v>
      </c>
      <c r="N16" s="4" t="n">
        <v>7</v>
      </c>
      <c r="O16" s="4" t="n">
        <f aca="false">SUM(F16:N16)</f>
        <v>1354</v>
      </c>
      <c r="P16" s="11" t="n">
        <f aca="false">IFERROR(F16/O16,0)</f>
        <v>0.344165435745938</v>
      </c>
      <c r="Q16" s="11" t="n">
        <f aca="false">IFERROR(G16/O16,0)</f>
        <v>0.149926144756278</v>
      </c>
      <c r="R16" s="11" t="n">
        <f aca="false">IFERROR(H16/O16,0)</f>
        <v>0.206056129985229</v>
      </c>
      <c r="S16" s="11" t="n">
        <f aca="false">IFERROR(I16/O16,0)</f>
        <v>0.170605612998523</v>
      </c>
      <c r="T16" s="11" t="n">
        <f aca="false">IFERROR(J16/O16,0)</f>
        <v>0.0221565731166913</v>
      </c>
      <c r="U16" s="11" t="n">
        <f aca="false">IFERROR(K16/O16,0)</f>
        <v>0.0583456425406204</v>
      </c>
      <c r="V16" s="11" t="n">
        <f aca="false">IFERROR(L16/O16,0)</f>
        <v>0.0251107828655835</v>
      </c>
      <c r="W16" s="11" t="n">
        <f aca="false">IFERROR(M16/O16,0)</f>
        <v>0.0184638109305761</v>
      </c>
      <c r="X16" s="11" t="n">
        <f aca="false">IFERROR(N16/O16,0)</f>
        <v>0.0051698670605613</v>
      </c>
    </row>
    <row r="17" customFormat="false" ht="15" hidden="false" customHeight="true" outlineLevel="0" collapsed="false">
      <c r="A17" s="4" t="s">
        <v>74</v>
      </c>
      <c r="B17" s="4" t="s">
        <v>75</v>
      </c>
      <c r="C17" s="4" t="n">
        <v>1680</v>
      </c>
      <c r="D17" s="4" t="n">
        <v>89.94</v>
      </c>
      <c r="E17" s="4" t="n">
        <v>91.64</v>
      </c>
      <c r="F17" s="4" t="n">
        <v>328</v>
      </c>
      <c r="G17" s="4" t="n">
        <v>165</v>
      </c>
      <c r="H17" s="4" t="n">
        <v>434</v>
      </c>
      <c r="I17" s="4" t="n">
        <v>334</v>
      </c>
      <c r="J17" s="4" t="n">
        <v>18</v>
      </c>
      <c r="K17" s="4" t="n">
        <v>112</v>
      </c>
      <c r="L17" s="4" t="n">
        <v>49</v>
      </c>
      <c r="M17" s="4" t="n">
        <v>49</v>
      </c>
      <c r="N17" s="4" t="n">
        <v>6</v>
      </c>
      <c r="O17" s="4" t="n">
        <f aca="false">SUM(F17:N17)</f>
        <v>1495</v>
      </c>
      <c r="P17" s="11" t="n">
        <f aca="false">IFERROR(F17/O17,0)</f>
        <v>0.219397993311037</v>
      </c>
      <c r="Q17" s="11" t="n">
        <f aca="false">IFERROR(G17/O17,0)</f>
        <v>0.110367892976589</v>
      </c>
      <c r="R17" s="11" t="n">
        <f aca="false">IFERROR(H17/O17,0)</f>
        <v>0.290301003344482</v>
      </c>
      <c r="S17" s="11" t="n">
        <f aca="false">IFERROR(I17/O17,0)</f>
        <v>0.223411371237458</v>
      </c>
      <c r="T17" s="11" t="n">
        <f aca="false">IFERROR(J17/O17,0)</f>
        <v>0.0120401337792642</v>
      </c>
      <c r="U17" s="11" t="n">
        <f aca="false">IFERROR(K17/O17,0)</f>
        <v>0.0749163879598662</v>
      </c>
      <c r="V17" s="11" t="n">
        <f aca="false">IFERROR(L17/O17,0)</f>
        <v>0.0327759197324415</v>
      </c>
      <c r="W17" s="11" t="n">
        <f aca="false">IFERROR(M17/O17,0)</f>
        <v>0.0327759197324415</v>
      </c>
      <c r="X17" s="11" t="n">
        <f aca="false">IFERROR(N17/O17,0)</f>
        <v>0.0040133779264214</v>
      </c>
    </row>
    <row r="18" customFormat="false" ht="15" hidden="false" customHeight="true" outlineLevel="0" collapsed="false">
      <c r="A18" s="4" t="s">
        <v>76</v>
      </c>
      <c r="B18" s="4" t="s">
        <v>77</v>
      </c>
      <c r="C18" s="4" t="n">
        <v>1035</v>
      </c>
      <c r="D18" s="4" t="n">
        <v>91.4</v>
      </c>
      <c r="E18" s="4" t="n">
        <v>92.95</v>
      </c>
      <c r="F18" s="4" t="n">
        <v>243</v>
      </c>
      <c r="G18" s="4" t="n">
        <v>72</v>
      </c>
      <c r="H18" s="4" t="n">
        <v>311</v>
      </c>
      <c r="I18" s="4" t="n">
        <v>188</v>
      </c>
      <c r="J18" s="4" t="n">
        <v>17</v>
      </c>
      <c r="K18" s="4" t="n">
        <v>57</v>
      </c>
      <c r="L18" s="4" t="n">
        <v>24</v>
      </c>
      <c r="M18" s="4" t="n">
        <v>22</v>
      </c>
      <c r="N18" s="4" t="n">
        <v>2</v>
      </c>
      <c r="O18" s="4" t="n">
        <f aca="false">SUM(F18:N18)</f>
        <v>936</v>
      </c>
      <c r="P18" s="11" t="n">
        <f aca="false">IFERROR(F18/O18,0)</f>
        <v>0.259615384615385</v>
      </c>
      <c r="Q18" s="11" t="n">
        <f aca="false">IFERROR(G18/O18,0)</f>
        <v>0.0769230769230769</v>
      </c>
      <c r="R18" s="11" t="n">
        <f aca="false">IFERROR(H18/O18,0)</f>
        <v>0.332264957264957</v>
      </c>
      <c r="S18" s="11" t="n">
        <f aca="false">IFERROR(I18/O18,0)</f>
        <v>0.200854700854701</v>
      </c>
      <c r="T18" s="11" t="n">
        <f aca="false">IFERROR(J18/O18,0)</f>
        <v>0.0181623931623932</v>
      </c>
      <c r="U18" s="11" t="n">
        <f aca="false">IFERROR(K18/O18,0)</f>
        <v>0.0608974358974359</v>
      </c>
      <c r="V18" s="11" t="n">
        <f aca="false">IFERROR(L18/O18,0)</f>
        <v>0.0256410256410256</v>
      </c>
      <c r="W18" s="11" t="n">
        <f aca="false">IFERROR(M18/O18,0)</f>
        <v>0.0235042735042735</v>
      </c>
      <c r="X18" s="11" t="n">
        <f aca="false">IFERROR(N18/O18,0)</f>
        <v>0.00213675213675214</v>
      </c>
    </row>
    <row r="19" customFormat="false" ht="15" hidden="false" customHeight="true" outlineLevel="0" collapsed="false">
      <c r="A19" s="4" t="s">
        <v>78</v>
      </c>
      <c r="B19" s="4" t="s">
        <v>79</v>
      </c>
      <c r="C19" s="4" t="n">
        <v>1671</v>
      </c>
      <c r="D19" s="4" t="n">
        <v>57.99</v>
      </c>
      <c r="E19" s="4" t="n">
        <v>54.94</v>
      </c>
      <c r="F19" s="4" t="n">
        <v>398</v>
      </c>
      <c r="G19" s="4" t="n">
        <v>153</v>
      </c>
      <c r="H19" s="4" t="n">
        <v>70</v>
      </c>
      <c r="I19" s="4" t="n">
        <v>51</v>
      </c>
      <c r="J19" s="4" t="n">
        <v>207</v>
      </c>
      <c r="K19" s="4" t="n">
        <v>23</v>
      </c>
      <c r="L19" s="4" t="n">
        <v>34</v>
      </c>
      <c r="M19" s="4" t="n">
        <v>12</v>
      </c>
      <c r="N19" s="4" t="n">
        <v>11</v>
      </c>
      <c r="O19" s="4" t="n">
        <f aca="false">SUM(F19:N19)</f>
        <v>959</v>
      </c>
      <c r="P19" s="11" t="n">
        <f aca="false">IFERROR(F19/O19,0)</f>
        <v>0.415015641293014</v>
      </c>
      <c r="Q19" s="11" t="n">
        <f aca="false">IFERROR(G19/O19,0)</f>
        <v>0.159541188738269</v>
      </c>
      <c r="R19" s="11" t="n">
        <f aca="false">IFERROR(H19/O19,0)</f>
        <v>0.072992700729927</v>
      </c>
      <c r="S19" s="11" t="n">
        <f aca="false">IFERROR(I19/O19,0)</f>
        <v>0.0531803962460897</v>
      </c>
      <c r="T19" s="11" t="n">
        <f aca="false">IFERROR(J19/O19,0)</f>
        <v>0.21584984358707</v>
      </c>
      <c r="U19" s="11" t="n">
        <f aca="false">IFERROR(K19/O19,0)</f>
        <v>0.0239833159541189</v>
      </c>
      <c r="V19" s="11" t="n">
        <f aca="false">IFERROR(L19/O19,0)</f>
        <v>0.0354535974973931</v>
      </c>
      <c r="W19" s="11" t="n">
        <f aca="false">IFERROR(M19/O19,0)</f>
        <v>0.0125130344108446</v>
      </c>
      <c r="X19" s="11" t="n">
        <f aca="false">IFERROR(N19/O19,0)</f>
        <v>0.0114702815432742</v>
      </c>
    </row>
    <row r="20" customFormat="false" ht="15" hidden="false" customHeight="true" outlineLevel="0" collapsed="false">
      <c r="A20" s="4" t="s">
        <v>80</v>
      </c>
      <c r="B20" s="4" t="s">
        <v>81</v>
      </c>
      <c r="C20" s="4" t="n">
        <v>314</v>
      </c>
      <c r="D20" s="4" t="n">
        <v>90.13</v>
      </c>
      <c r="E20" s="4" t="n">
        <v>85.92</v>
      </c>
      <c r="F20" s="4" t="n">
        <v>55</v>
      </c>
      <c r="G20" s="4" t="n">
        <v>35</v>
      </c>
      <c r="H20" s="4" t="n">
        <v>68</v>
      </c>
      <c r="I20" s="4" t="n">
        <v>45</v>
      </c>
      <c r="J20" s="4" t="n">
        <v>16</v>
      </c>
      <c r="K20" s="4" t="n">
        <v>10</v>
      </c>
      <c r="L20" s="4" t="n">
        <v>30</v>
      </c>
      <c r="M20" s="4" t="n">
        <v>14</v>
      </c>
      <c r="N20" s="4" t="n">
        <v>2</v>
      </c>
      <c r="O20" s="4" t="n">
        <f aca="false">SUM(F20:N20)</f>
        <v>275</v>
      </c>
      <c r="P20" s="11" t="n">
        <f aca="false">IFERROR(F20/O20,0)</f>
        <v>0.2</v>
      </c>
      <c r="Q20" s="11" t="n">
        <f aca="false">IFERROR(G20/O20,0)</f>
        <v>0.127272727272727</v>
      </c>
      <c r="R20" s="11" t="n">
        <f aca="false">IFERROR(H20/O20,0)</f>
        <v>0.247272727272727</v>
      </c>
      <c r="S20" s="11" t="n">
        <f aca="false">IFERROR(I20/O20,0)</f>
        <v>0.163636363636364</v>
      </c>
      <c r="T20" s="11" t="n">
        <f aca="false">IFERROR(J20/O20,0)</f>
        <v>0.0581818181818182</v>
      </c>
      <c r="U20" s="11" t="n">
        <f aca="false">IFERROR(K20/O20,0)</f>
        <v>0.0363636363636364</v>
      </c>
      <c r="V20" s="11" t="n">
        <f aca="false">IFERROR(L20/O20,0)</f>
        <v>0.109090909090909</v>
      </c>
      <c r="W20" s="11" t="n">
        <f aca="false">IFERROR(M20/O20,0)</f>
        <v>0.0509090909090909</v>
      </c>
      <c r="X20" s="11" t="n">
        <f aca="false">IFERROR(N20/O20,0)</f>
        <v>0.00727272727272727</v>
      </c>
    </row>
    <row r="21" customFormat="false" ht="15" hidden="false" customHeight="true" outlineLevel="0" collapsed="false">
      <c r="A21" s="4" t="s">
        <v>82</v>
      </c>
      <c r="B21" s="4" t="s">
        <v>83</v>
      </c>
      <c r="C21" s="4" t="n">
        <v>1351</v>
      </c>
      <c r="D21" s="4" t="n">
        <v>81.35</v>
      </c>
      <c r="E21" s="4" t="n">
        <v>82.14</v>
      </c>
      <c r="F21" s="4" t="n">
        <v>201</v>
      </c>
      <c r="G21" s="4" t="n">
        <v>286</v>
      </c>
      <c r="H21" s="4" t="n">
        <v>260</v>
      </c>
      <c r="I21" s="4" t="n">
        <v>106</v>
      </c>
      <c r="J21" s="4" t="n">
        <v>41</v>
      </c>
      <c r="K21" s="4" t="n">
        <v>74</v>
      </c>
      <c r="L21" s="4" t="n">
        <v>57</v>
      </c>
      <c r="M21" s="4" t="n">
        <v>48</v>
      </c>
      <c r="N21" s="4" t="n">
        <v>9</v>
      </c>
      <c r="O21" s="4" t="n">
        <f aca="false">SUM(F21:N21)</f>
        <v>1082</v>
      </c>
      <c r="P21" s="11" t="n">
        <f aca="false">IFERROR(F21/O21,0)</f>
        <v>0.185767097966728</v>
      </c>
      <c r="Q21" s="11" t="n">
        <f aca="false">IFERROR(G21/O21,0)</f>
        <v>0.264325323475046</v>
      </c>
      <c r="R21" s="11" t="n">
        <f aca="false">IFERROR(H21/O21,0)</f>
        <v>0.240295748613678</v>
      </c>
      <c r="S21" s="11" t="n">
        <f aca="false">IFERROR(I21/O21,0)</f>
        <v>0.0979667282809612</v>
      </c>
      <c r="T21" s="11" t="n">
        <f aca="false">IFERROR(J21/O21,0)</f>
        <v>0.0378927911275416</v>
      </c>
      <c r="U21" s="11" t="n">
        <f aca="false">IFERROR(K21/O21,0)</f>
        <v>0.0683918669131239</v>
      </c>
      <c r="V21" s="11" t="n">
        <f aca="false">IFERROR(L21/O21,0)</f>
        <v>0.0526802218114603</v>
      </c>
      <c r="W21" s="11" t="n">
        <f aca="false">IFERROR(M21/O21,0)</f>
        <v>0.044362292051756</v>
      </c>
      <c r="X21" s="11" t="n">
        <f aca="false">IFERROR(N21/O21,0)</f>
        <v>0.00831792975970425</v>
      </c>
    </row>
    <row r="22" customFormat="false" ht="15" hidden="false" customHeight="true" outlineLevel="0" collapsed="false">
      <c r="A22" s="4" t="s">
        <v>84</v>
      </c>
      <c r="B22" s="4" t="s">
        <v>85</v>
      </c>
      <c r="C22" s="4" t="n">
        <v>1758</v>
      </c>
      <c r="D22" s="4" t="n">
        <v>81.8</v>
      </c>
      <c r="E22" s="4" t="n">
        <v>80.7</v>
      </c>
      <c r="F22" s="4" t="n">
        <v>341</v>
      </c>
      <c r="G22" s="4" t="n">
        <v>352</v>
      </c>
      <c r="H22" s="4" t="n">
        <v>381</v>
      </c>
      <c r="I22" s="4" t="n">
        <v>136</v>
      </c>
      <c r="J22" s="4" t="n">
        <v>56</v>
      </c>
      <c r="K22" s="4" t="n">
        <v>77</v>
      </c>
      <c r="L22" s="4" t="n">
        <v>36</v>
      </c>
      <c r="M22" s="4" t="n">
        <v>26</v>
      </c>
      <c r="N22" s="4" t="n">
        <v>7</v>
      </c>
      <c r="O22" s="4" t="n">
        <f aca="false">SUM(F22:N22)</f>
        <v>1412</v>
      </c>
      <c r="P22" s="11" t="n">
        <f aca="false">IFERROR(F22/O22,0)</f>
        <v>0.241501416430595</v>
      </c>
      <c r="Q22" s="11" t="n">
        <f aca="false">IFERROR(G22/O22,0)</f>
        <v>0.24929178470255</v>
      </c>
      <c r="R22" s="11" t="n">
        <f aca="false">IFERROR(H22/O22,0)</f>
        <v>0.269830028328612</v>
      </c>
      <c r="S22" s="11" t="n">
        <f aca="false">IFERROR(I22/O22,0)</f>
        <v>0.0963172804532578</v>
      </c>
      <c r="T22" s="11" t="n">
        <f aca="false">IFERROR(J22/O22,0)</f>
        <v>0.0396600566572238</v>
      </c>
      <c r="U22" s="11" t="n">
        <f aca="false">IFERROR(K22/O22,0)</f>
        <v>0.0545325779036827</v>
      </c>
      <c r="V22" s="11" t="n">
        <f aca="false">IFERROR(L22/O22,0)</f>
        <v>0.0254957507082153</v>
      </c>
      <c r="W22" s="11" t="n">
        <f aca="false">IFERROR(M22/O22,0)</f>
        <v>0.018413597733711</v>
      </c>
      <c r="X22" s="11" t="n">
        <f aca="false">IFERROR(N22/O22,0)</f>
        <v>0.00495750708215297</v>
      </c>
    </row>
    <row r="23" customFormat="false" ht="15" hidden="false" customHeight="true" outlineLevel="0" collapsed="false">
      <c r="A23" s="4" t="s">
        <v>86</v>
      </c>
      <c r="B23" s="4" t="s">
        <v>87</v>
      </c>
      <c r="C23" s="4" t="n">
        <v>1630</v>
      </c>
      <c r="D23" s="4" t="n">
        <v>86.99</v>
      </c>
      <c r="E23" s="4" t="n">
        <v>86.52</v>
      </c>
      <c r="F23" s="4" t="n">
        <v>385</v>
      </c>
      <c r="G23" s="4" t="n">
        <v>317</v>
      </c>
      <c r="H23" s="4" t="n">
        <v>332</v>
      </c>
      <c r="I23" s="4" t="n">
        <v>172</v>
      </c>
      <c r="J23" s="4" t="n">
        <v>43</v>
      </c>
      <c r="K23" s="4" t="n">
        <v>63</v>
      </c>
      <c r="L23" s="4" t="n">
        <v>26</v>
      </c>
      <c r="M23" s="4" t="n">
        <v>39</v>
      </c>
      <c r="N23" s="4" t="n">
        <v>4</v>
      </c>
      <c r="O23" s="4" t="n">
        <f aca="false">SUM(F23:N23)</f>
        <v>1381</v>
      </c>
      <c r="P23" s="11" t="n">
        <f aca="false">IFERROR(F23/O23,0)</f>
        <v>0.278783490224475</v>
      </c>
      <c r="Q23" s="11" t="n">
        <f aca="false">IFERROR(G23/O23,0)</f>
        <v>0.229543808834178</v>
      </c>
      <c r="R23" s="11" t="n">
        <f aca="false">IFERROR(H23/O23,0)</f>
        <v>0.240405503258508</v>
      </c>
      <c r="S23" s="11" t="n">
        <f aca="false">IFERROR(I23/O23,0)</f>
        <v>0.124547429398986</v>
      </c>
      <c r="T23" s="11" t="n">
        <f aca="false">IFERROR(J23/O23,0)</f>
        <v>0.0311368573497466</v>
      </c>
      <c r="U23" s="11" t="n">
        <f aca="false">IFERROR(K23/O23,0)</f>
        <v>0.0456191165821868</v>
      </c>
      <c r="V23" s="11" t="n">
        <f aca="false">IFERROR(L23/O23,0)</f>
        <v>0.0188269370021723</v>
      </c>
      <c r="W23" s="11" t="n">
        <f aca="false">IFERROR(M23/O23,0)</f>
        <v>0.0282404055032585</v>
      </c>
      <c r="X23" s="11" t="n">
        <f aca="false">IFERROR(N23/O23,0)</f>
        <v>0.00289645184648805</v>
      </c>
    </row>
    <row r="24" customFormat="false" ht="15" hidden="false" customHeight="true" outlineLevel="0" collapsed="false">
      <c r="A24" s="4" t="s">
        <v>88</v>
      </c>
      <c r="B24" s="4" t="s">
        <v>89</v>
      </c>
      <c r="C24" s="4" t="n">
        <v>1695</v>
      </c>
      <c r="D24" s="4" t="n">
        <v>83.3</v>
      </c>
      <c r="E24" s="4" t="n">
        <v>83.33</v>
      </c>
      <c r="F24" s="4" t="n">
        <v>313</v>
      </c>
      <c r="G24" s="4" t="n">
        <v>364</v>
      </c>
      <c r="H24" s="4" t="n">
        <v>335</v>
      </c>
      <c r="I24" s="4" t="n">
        <v>132</v>
      </c>
      <c r="J24" s="4" t="n">
        <v>63</v>
      </c>
      <c r="K24" s="4" t="n">
        <v>84</v>
      </c>
      <c r="L24" s="4" t="n">
        <v>44</v>
      </c>
      <c r="M24" s="4" t="n">
        <v>41</v>
      </c>
      <c r="N24" s="4" t="n">
        <v>6</v>
      </c>
      <c r="O24" s="4" t="n">
        <f aca="false">SUM(F24:N24)</f>
        <v>1382</v>
      </c>
      <c r="P24" s="11" t="n">
        <f aca="false">IFERROR(F24/O24,0)</f>
        <v>0.226483357452967</v>
      </c>
      <c r="Q24" s="11" t="n">
        <f aca="false">IFERROR(G24/O24,0)</f>
        <v>0.263386396526773</v>
      </c>
      <c r="R24" s="11" t="n">
        <f aca="false">IFERROR(H24/O24,0)</f>
        <v>0.242402315484805</v>
      </c>
      <c r="S24" s="11" t="n">
        <f aca="false">IFERROR(I24/O24,0)</f>
        <v>0.0955137481910275</v>
      </c>
      <c r="T24" s="11" t="n">
        <f aca="false">IFERROR(J24/O24,0)</f>
        <v>0.0455861070911722</v>
      </c>
      <c r="U24" s="11" t="n">
        <f aca="false">IFERROR(K24/O24,0)</f>
        <v>0.060781476121563</v>
      </c>
      <c r="V24" s="11" t="n">
        <f aca="false">IFERROR(L24/O24,0)</f>
        <v>0.0318379160636758</v>
      </c>
      <c r="W24" s="11" t="n">
        <f aca="false">IFERROR(M24/O24,0)</f>
        <v>0.0296671490593343</v>
      </c>
      <c r="X24" s="11" t="n">
        <f aca="false">IFERROR(N24/O24,0)</f>
        <v>0.00434153400868307</v>
      </c>
    </row>
    <row r="25" customFormat="false" ht="15" hidden="false" customHeight="true" outlineLevel="0" collapsed="false">
      <c r="A25" s="4" t="s">
        <v>90</v>
      </c>
      <c r="B25" s="4" t="s">
        <v>91</v>
      </c>
      <c r="C25" s="4" t="n">
        <v>981</v>
      </c>
      <c r="D25" s="4" t="n">
        <v>82.26</v>
      </c>
      <c r="E25" s="4" t="n">
        <v>84.86</v>
      </c>
      <c r="F25" s="4" t="n">
        <v>208</v>
      </c>
      <c r="G25" s="4" t="n">
        <v>186</v>
      </c>
      <c r="H25" s="4" t="n">
        <v>141</v>
      </c>
      <c r="I25" s="4" t="n">
        <v>89</v>
      </c>
      <c r="J25" s="4" t="n">
        <v>64</v>
      </c>
      <c r="K25" s="4" t="n">
        <v>41</v>
      </c>
      <c r="L25" s="4" t="n">
        <v>22</v>
      </c>
      <c r="M25" s="4" t="n">
        <v>27</v>
      </c>
      <c r="N25" s="4" t="n">
        <v>13</v>
      </c>
      <c r="O25" s="4" t="n">
        <f aca="false">SUM(F25:N25)</f>
        <v>791</v>
      </c>
      <c r="P25" s="11" t="n">
        <f aca="false">IFERROR(F25/O25,0)</f>
        <v>0.262958280657396</v>
      </c>
      <c r="Q25" s="11" t="n">
        <f aca="false">IFERROR(G25/O25,0)</f>
        <v>0.235145385587863</v>
      </c>
      <c r="R25" s="11" t="n">
        <f aca="false">IFERROR(H25/O25,0)</f>
        <v>0.178255372945638</v>
      </c>
      <c r="S25" s="11" t="n">
        <f aca="false">IFERROR(I25/O25,0)</f>
        <v>0.11251580278129</v>
      </c>
      <c r="T25" s="11" t="n">
        <f aca="false">IFERROR(J25/O25,0)</f>
        <v>0.0809102402022756</v>
      </c>
      <c r="U25" s="11" t="n">
        <f aca="false">IFERROR(K25/O25,0)</f>
        <v>0.0518331226295828</v>
      </c>
      <c r="V25" s="11" t="n">
        <f aca="false">IFERROR(L25/O25,0)</f>
        <v>0.0278128950695322</v>
      </c>
      <c r="W25" s="11" t="n">
        <f aca="false">IFERROR(M25/O25,0)</f>
        <v>0.034134007585335</v>
      </c>
      <c r="X25" s="11" t="n">
        <f aca="false">IFERROR(N25/O25,0)</f>
        <v>0.0164348925410872</v>
      </c>
    </row>
    <row r="26" customFormat="false" ht="15" hidden="false" customHeight="true" outlineLevel="0" collapsed="false">
      <c r="A26" s="4" t="s">
        <v>92</v>
      </c>
      <c r="B26" s="4" t="s">
        <v>93</v>
      </c>
      <c r="C26" s="4" t="n">
        <v>1258</v>
      </c>
      <c r="D26" s="4" t="n">
        <v>86.88</v>
      </c>
      <c r="E26" s="4" t="n">
        <v>89.17</v>
      </c>
      <c r="F26" s="4" t="n">
        <v>259</v>
      </c>
      <c r="G26" s="4" t="n">
        <v>144</v>
      </c>
      <c r="H26" s="4" t="n">
        <v>316</v>
      </c>
      <c r="I26" s="4" t="n">
        <v>131</v>
      </c>
      <c r="J26" s="4" t="n">
        <v>18</v>
      </c>
      <c r="K26" s="4" t="n">
        <v>77</v>
      </c>
      <c r="L26" s="4" t="n">
        <v>48</v>
      </c>
      <c r="M26" s="4" t="n">
        <v>66</v>
      </c>
      <c r="N26" s="4" t="n">
        <v>16</v>
      </c>
      <c r="O26" s="4" t="n">
        <f aca="false">SUM(F26:N26)</f>
        <v>1075</v>
      </c>
      <c r="P26" s="11" t="n">
        <f aca="false">IFERROR(F26/O26,0)</f>
        <v>0.24093023255814</v>
      </c>
      <c r="Q26" s="11" t="n">
        <f aca="false">IFERROR(G26/O26,0)</f>
        <v>0.133953488372093</v>
      </c>
      <c r="R26" s="11" t="n">
        <f aca="false">IFERROR(H26/O26,0)</f>
        <v>0.293953488372093</v>
      </c>
      <c r="S26" s="11" t="n">
        <f aca="false">IFERROR(I26/O26,0)</f>
        <v>0.121860465116279</v>
      </c>
      <c r="T26" s="11" t="n">
        <f aca="false">IFERROR(J26/O26,0)</f>
        <v>0.0167441860465116</v>
      </c>
      <c r="U26" s="11" t="n">
        <f aca="false">IFERROR(K26/O26,0)</f>
        <v>0.0716279069767442</v>
      </c>
      <c r="V26" s="11" t="n">
        <f aca="false">IFERROR(L26/O26,0)</f>
        <v>0.0446511627906977</v>
      </c>
      <c r="W26" s="11" t="n">
        <f aca="false">IFERROR(M26/O26,0)</f>
        <v>0.0613953488372093</v>
      </c>
      <c r="X26" s="11" t="n">
        <f aca="false">IFERROR(N26/O26,0)</f>
        <v>0.0148837209302326</v>
      </c>
    </row>
    <row r="27" customFormat="false" ht="15" hidden="false" customHeight="true" outlineLevel="0" collapsed="false">
      <c r="A27" s="4" t="s">
        <v>94</v>
      </c>
      <c r="B27" s="4" t="s">
        <v>95</v>
      </c>
      <c r="C27" s="4" t="n">
        <v>1001</v>
      </c>
      <c r="D27" s="4" t="n">
        <v>88.31</v>
      </c>
      <c r="E27" s="4" t="n">
        <v>88.26</v>
      </c>
      <c r="F27" s="4" t="n">
        <v>198</v>
      </c>
      <c r="G27" s="4" t="n">
        <v>136</v>
      </c>
      <c r="H27" s="4" t="n">
        <v>242</v>
      </c>
      <c r="I27" s="4" t="n">
        <v>115</v>
      </c>
      <c r="J27" s="4" t="n">
        <v>20</v>
      </c>
      <c r="K27" s="4" t="n">
        <v>62</v>
      </c>
      <c r="L27" s="4" t="n">
        <v>33</v>
      </c>
      <c r="M27" s="4" t="n">
        <v>58</v>
      </c>
      <c r="N27" s="4" t="n">
        <v>3</v>
      </c>
      <c r="O27" s="4" t="n">
        <f aca="false">SUM(F27:N27)</f>
        <v>867</v>
      </c>
      <c r="P27" s="11" t="n">
        <f aca="false">IFERROR(F27/O27,0)</f>
        <v>0.228373702422145</v>
      </c>
      <c r="Q27" s="11" t="n">
        <f aca="false">IFERROR(G27/O27,0)</f>
        <v>0.156862745098039</v>
      </c>
      <c r="R27" s="11" t="n">
        <f aca="false">IFERROR(H27/O27,0)</f>
        <v>0.279123414071511</v>
      </c>
      <c r="S27" s="11" t="n">
        <f aca="false">IFERROR(I27/O27,0)</f>
        <v>0.132641291810842</v>
      </c>
      <c r="T27" s="11" t="n">
        <f aca="false">IFERROR(J27/O27,0)</f>
        <v>0.0230680507497117</v>
      </c>
      <c r="U27" s="11" t="n">
        <f aca="false">IFERROR(K27/O27,0)</f>
        <v>0.0715109573241061</v>
      </c>
      <c r="V27" s="11" t="n">
        <f aca="false">IFERROR(L27/O27,0)</f>
        <v>0.0380622837370242</v>
      </c>
      <c r="W27" s="11" t="n">
        <f aca="false">IFERROR(M27/O27,0)</f>
        <v>0.0668973471741638</v>
      </c>
      <c r="X27" s="11" t="n">
        <f aca="false">IFERROR(N27/O27,0)</f>
        <v>0.00346020761245675</v>
      </c>
    </row>
    <row r="28" customFormat="false" ht="15" hidden="false" customHeight="true" outlineLevel="0" collapsed="false">
      <c r="A28" s="4" t="s">
        <v>146</v>
      </c>
      <c r="B28" s="4" t="s">
        <v>147</v>
      </c>
      <c r="C28" s="4"/>
      <c r="D28" s="4"/>
      <c r="E28" s="4"/>
      <c r="F28" s="4" t="n">
        <v>244</v>
      </c>
      <c r="G28" s="4" t="n">
        <v>145</v>
      </c>
      <c r="H28" s="4" t="n">
        <v>145</v>
      </c>
      <c r="I28" s="4" t="n">
        <v>75</v>
      </c>
      <c r="J28" s="4" t="n">
        <v>86</v>
      </c>
      <c r="K28" s="4" t="n">
        <v>28</v>
      </c>
      <c r="L28" s="4" t="n">
        <v>31</v>
      </c>
      <c r="M28" s="4" t="n">
        <v>25</v>
      </c>
      <c r="N28" s="4" t="n">
        <v>7</v>
      </c>
      <c r="O28" s="4" t="n">
        <f aca="false">SUM(F28:N28)</f>
        <v>786</v>
      </c>
      <c r="P28" s="11" t="n">
        <f aca="false">IFERROR(F28/O28,0)</f>
        <v>0.310432569974555</v>
      </c>
      <c r="Q28" s="11" t="n">
        <f aca="false">IFERROR(G28/O28,0)</f>
        <v>0.184478371501272</v>
      </c>
      <c r="R28" s="11" t="n">
        <f aca="false">IFERROR(H28/O28,0)</f>
        <v>0.184478371501272</v>
      </c>
      <c r="S28" s="11" t="n">
        <f aca="false">IFERROR(I28/O28,0)</f>
        <v>0.0954198473282443</v>
      </c>
      <c r="T28" s="11" t="n">
        <f aca="false">IFERROR(J28/O28,0)</f>
        <v>0.10941475826972</v>
      </c>
      <c r="U28" s="11" t="n">
        <f aca="false">IFERROR(K28/O28,0)</f>
        <v>0.0356234096692112</v>
      </c>
      <c r="V28" s="11" t="n">
        <f aca="false">IFERROR(L28/O28,0)</f>
        <v>0.039440203562341</v>
      </c>
      <c r="W28" s="11" t="n">
        <f aca="false">IFERROR(M28/O28,0)</f>
        <v>0.0318066157760814</v>
      </c>
      <c r="X28" s="11" t="n">
        <f aca="false">IFERROR(N28/O28,0)</f>
        <v>0.0089058524173028</v>
      </c>
    </row>
    <row r="29" customFormat="false" ht="15" hidden="false" customHeight="true" outlineLevel="0" collapsed="false">
      <c r="A29" s="3"/>
      <c r="B29" s="3" t="s">
        <v>148</v>
      </c>
      <c r="C29" s="3" t="n">
        <f aca="false">SUM(C2:C28)</f>
        <v>37352</v>
      </c>
      <c r="D29" s="3"/>
      <c r="E29" s="3"/>
      <c r="F29" s="3" t="n">
        <f aca="false">SUM(F2:F28)</f>
        <v>9403</v>
      </c>
      <c r="G29" s="3" t="n">
        <f aca="false">SUM(G2:G28)</f>
        <v>5137</v>
      </c>
      <c r="H29" s="3" t="n">
        <f aca="false">SUM(H2:H28)</f>
        <v>5049</v>
      </c>
      <c r="I29" s="3" t="n">
        <f aca="false">SUM(I2:I28)</f>
        <v>3146</v>
      </c>
      <c r="J29" s="3" t="n">
        <f aca="false">SUM(J2:J28)</f>
        <v>2563</v>
      </c>
      <c r="K29" s="3" t="n">
        <f aca="false">SUM(K2:K28)</f>
        <v>1341</v>
      </c>
      <c r="L29" s="3" t="n">
        <f aca="false">SUM(L2:L28)</f>
        <v>934</v>
      </c>
      <c r="M29" s="3" t="n">
        <f aca="false">SUM(M2:M28)</f>
        <v>686</v>
      </c>
      <c r="N29" s="3" t="n">
        <f aca="false">SUM(N2:N28)</f>
        <v>198</v>
      </c>
      <c r="O29" s="3" t="n">
        <f aca="false">SUM(O2:O28)</f>
        <v>28457</v>
      </c>
      <c r="P29" s="12" t="n">
        <f aca="false">F29/O29</f>
        <v>0.330428365604245</v>
      </c>
      <c r="Q29" s="12" t="n">
        <f aca="false">G29/O29</f>
        <v>0.180517974487824</v>
      </c>
      <c r="R29" s="12" t="n">
        <f aca="false">H29/O29</f>
        <v>0.177425589485891</v>
      </c>
      <c r="S29" s="12" t="n">
        <f aca="false">I29/O29</f>
        <v>0.110552763819095</v>
      </c>
      <c r="T29" s="12" t="n">
        <f aca="false">J29/O29</f>
        <v>0.0900657131812911</v>
      </c>
      <c r="U29" s="12" t="n">
        <f aca="false">K29/O29</f>
        <v>0.047123730540816</v>
      </c>
      <c r="V29" s="12" t="n">
        <f aca="false">L29/O29</f>
        <v>0.032821449906877</v>
      </c>
      <c r="W29" s="12" t="n">
        <f aca="false">M29/O29</f>
        <v>0.024106546719612</v>
      </c>
      <c r="X29" s="12" t="n">
        <f aca="false">N29/O29</f>
        <v>0.00695786625434867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24" min="3" style="1" width="9"/>
  </cols>
  <sheetData>
    <row r="1" customFormat="false" ht="34.5" hidden="false" customHeight="true" outlineLevel="0" collapsed="false">
      <c r="A1" s="10" t="s">
        <v>24</v>
      </c>
      <c r="B1" s="10" t="s">
        <v>25</v>
      </c>
      <c r="C1" s="10" t="s">
        <v>16</v>
      </c>
      <c r="D1" s="10" t="s">
        <v>142</v>
      </c>
      <c r="E1" s="10" t="s">
        <v>143</v>
      </c>
      <c r="F1" s="10" t="s">
        <v>99</v>
      </c>
      <c r="G1" s="10" t="s">
        <v>100</v>
      </c>
      <c r="H1" s="10" t="s">
        <v>101</v>
      </c>
      <c r="I1" s="10" t="s">
        <v>103</v>
      </c>
      <c r="J1" s="10" t="s">
        <v>102</v>
      </c>
      <c r="K1" s="10" t="s">
        <v>104</v>
      </c>
      <c r="L1" s="10" t="s">
        <v>105</v>
      </c>
      <c r="M1" s="10" t="s">
        <v>106</v>
      </c>
      <c r="N1" s="10" t="s">
        <v>12</v>
      </c>
      <c r="O1" s="10" t="s">
        <v>145</v>
      </c>
      <c r="P1" s="10" t="s">
        <v>126</v>
      </c>
      <c r="Q1" s="10" t="s">
        <v>128</v>
      </c>
      <c r="R1" s="10" t="s">
        <v>127</v>
      </c>
      <c r="S1" s="10" t="s">
        <v>130</v>
      </c>
      <c r="T1" s="10" t="s">
        <v>129</v>
      </c>
      <c r="U1" s="10" t="s">
        <v>132</v>
      </c>
      <c r="V1" s="10" t="s">
        <v>131</v>
      </c>
      <c r="W1" s="10" t="s">
        <v>133</v>
      </c>
      <c r="X1" s="10" t="s">
        <v>135</v>
      </c>
    </row>
    <row r="2" customFormat="false" ht="15" hidden="false" customHeight="true" outlineLevel="0" collapsed="false">
      <c r="A2" s="4" t="s">
        <v>44</v>
      </c>
      <c r="B2" s="4" t="s">
        <v>45</v>
      </c>
      <c r="C2" s="4" t="n">
        <v>1524</v>
      </c>
      <c r="D2" s="4" t="n">
        <v>75.52</v>
      </c>
      <c r="E2" s="4" t="n">
        <v>82.37</v>
      </c>
      <c r="F2" s="4" t="n">
        <v>317</v>
      </c>
      <c r="G2" s="4" t="n">
        <v>317</v>
      </c>
      <c r="H2" s="4" t="n">
        <v>185</v>
      </c>
      <c r="I2" s="4" t="n">
        <v>71</v>
      </c>
      <c r="J2" s="4" t="n">
        <v>120</v>
      </c>
      <c r="K2" s="4" t="n">
        <v>42</v>
      </c>
      <c r="L2" s="4" t="n">
        <v>41</v>
      </c>
      <c r="M2" s="4" t="n">
        <v>30</v>
      </c>
      <c r="N2" s="4" t="n">
        <v>13</v>
      </c>
      <c r="O2" s="4" t="n">
        <f aca="false">SUM(F2:N2)</f>
        <v>1136</v>
      </c>
      <c r="P2" s="11" t="n">
        <f aca="false">IFERROR(F2/O2,0)</f>
        <v>0.279049295774648</v>
      </c>
      <c r="Q2" s="11" t="n">
        <f aca="false">IFERROR(G2/O2,0)</f>
        <v>0.279049295774648</v>
      </c>
      <c r="R2" s="11" t="n">
        <f aca="false">IFERROR(H2/O2,0)</f>
        <v>0.162852112676056</v>
      </c>
      <c r="S2" s="11" t="n">
        <f aca="false">IFERROR(I2/O2,0)</f>
        <v>0.0625</v>
      </c>
      <c r="T2" s="11" t="n">
        <f aca="false">IFERROR(J2/O2,0)</f>
        <v>0.105633802816901</v>
      </c>
      <c r="U2" s="11" t="n">
        <f aca="false">IFERROR(K2/O2,0)</f>
        <v>0.0369718309859155</v>
      </c>
      <c r="V2" s="11" t="n">
        <f aca="false">IFERROR(L2/O2,0)</f>
        <v>0.0360915492957747</v>
      </c>
      <c r="W2" s="11" t="n">
        <f aca="false">IFERROR(M2/O2,0)</f>
        <v>0.0264084507042254</v>
      </c>
      <c r="X2" s="11" t="n">
        <f aca="false">IFERROR(N2/O2,0)</f>
        <v>0.011443661971831</v>
      </c>
    </row>
    <row r="3" customFormat="false" ht="15" hidden="false" customHeight="true" outlineLevel="0" collapsed="false">
      <c r="A3" s="4" t="s">
        <v>46</v>
      </c>
      <c r="B3" s="4" t="s">
        <v>47</v>
      </c>
      <c r="C3" s="4" t="n">
        <v>1479</v>
      </c>
      <c r="D3" s="4" t="n">
        <v>75.79</v>
      </c>
      <c r="E3" s="4" t="n">
        <v>73.37</v>
      </c>
      <c r="F3" s="4" t="n">
        <v>332</v>
      </c>
      <c r="G3" s="4" t="n">
        <v>282</v>
      </c>
      <c r="H3" s="4" t="n">
        <v>131</v>
      </c>
      <c r="I3" s="4" t="n">
        <v>131</v>
      </c>
      <c r="J3" s="4" t="n">
        <v>101</v>
      </c>
      <c r="K3" s="4" t="n">
        <v>34</v>
      </c>
      <c r="L3" s="4" t="n">
        <v>37</v>
      </c>
      <c r="M3" s="4" t="n">
        <v>50</v>
      </c>
      <c r="N3" s="4" t="n">
        <v>11</v>
      </c>
      <c r="O3" s="4" t="n">
        <f aca="false">SUM(F3:N3)</f>
        <v>1109</v>
      </c>
      <c r="P3" s="11" t="n">
        <f aca="false">IFERROR(F3/O3,0)</f>
        <v>0.299368800721371</v>
      </c>
      <c r="Q3" s="11" t="n">
        <f aca="false">IFERROR(G3/O3,0)</f>
        <v>0.254283137962128</v>
      </c>
      <c r="R3" s="11" t="n">
        <f aca="false">IFERROR(H3/O3,0)</f>
        <v>0.118124436429216</v>
      </c>
      <c r="S3" s="11" t="n">
        <f aca="false">IFERROR(I3/O3,0)</f>
        <v>0.118124436429216</v>
      </c>
      <c r="T3" s="11" t="n">
        <f aca="false">IFERROR(J3/O3,0)</f>
        <v>0.09107303877367</v>
      </c>
      <c r="U3" s="11" t="n">
        <f aca="false">IFERROR(K3/O3,0)</f>
        <v>0.0306582506762849</v>
      </c>
      <c r="V3" s="11" t="n">
        <f aca="false">IFERROR(L3/O3,0)</f>
        <v>0.0333633904418395</v>
      </c>
      <c r="W3" s="11" t="n">
        <f aca="false">IFERROR(M3/O3,0)</f>
        <v>0.0450856627592426</v>
      </c>
      <c r="X3" s="11" t="n">
        <f aca="false">IFERROR(N3/O3,0)</f>
        <v>0.00991884580703336</v>
      </c>
    </row>
    <row r="4" customFormat="false" ht="15" hidden="false" customHeight="true" outlineLevel="0" collapsed="false">
      <c r="A4" s="4" t="s">
        <v>48</v>
      </c>
      <c r="B4" s="4" t="s">
        <v>49</v>
      </c>
      <c r="C4" s="4" t="n">
        <v>1625</v>
      </c>
      <c r="D4" s="4" t="n">
        <v>68.18</v>
      </c>
      <c r="E4" s="4" t="n">
        <v>66.73</v>
      </c>
      <c r="F4" s="4" t="n">
        <v>415</v>
      </c>
      <c r="G4" s="4" t="n">
        <v>227</v>
      </c>
      <c r="H4" s="4" t="n">
        <v>110</v>
      </c>
      <c r="I4" s="4" t="n">
        <v>171</v>
      </c>
      <c r="J4" s="4" t="n">
        <v>61</v>
      </c>
      <c r="K4" s="4" t="n">
        <v>21</v>
      </c>
      <c r="L4" s="4" t="n">
        <v>22</v>
      </c>
      <c r="M4" s="4" t="n">
        <v>52</v>
      </c>
      <c r="N4" s="4" t="n">
        <v>18</v>
      </c>
      <c r="O4" s="4" t="n">
        <f aca="false">SUM(F4:N4)</f>
        <v>1097</v>
      </c>
      <c r="P4" s="11" t="n">
        <f aca="false">IFERROR(F4/O4,0)</f>
        <v>0.378304466727438</v>
      </c>
      <c r="Q4" s="11" t="n">
        <f aca="false">IFERROR(G4/O4,0)</f>
        <v>0.206927985414768</v>
      </c>
      <c r="R4" s="11" t="n">
        <f aca="false">IFERROR(H4/O4,0)</f>
        <v>0.100273473108478</v>
      </c>
      <c r="S4" s="11" t="n">
        <f aca="false">IFERROR(I4/O4,0)</f>
        <v>0.15587967183227</v>
      </c>
      <c r="T4" s="11" t="n">
        <f aca="false">IFERROR(J4/O4,0)</f>
        <v>0.0556061987237922</v>
      </c>
      <c r="U4" s="11" t="n">
        <f aca="false">IFERROR(K4/O4,0)</f>
        <v>0.0191431175934366</v>
      </c>
      <c r="V4" s="11" t="n">
        <f aca="false">IFERROR(L4/O4,0)</f>
        <v>0.0200546946216955</v>
      </c>
      <c r="W4" s="11" t="n">
        <f aca="false">IFERROR(M4/O4,0)</f>
        <v>0.0474020054694622</v>
      </c>
      <c r="X4" s="11" t="n">
        <f aca="false">IFERROR(N4/O4,0)</f>
        <v>0.01640838650866</v>
      </c>
    </row>
    <row r="5" customFormat="false" ht="15" hidden="false" customHeight="true" outlineLevel="0" collapsed="false">
      <c r="A5" s="4" t="s">
        <v>50</v>
      </c>
      <c r="B5" s="4" t="s">
        <v>51</v>
      </c>
      <c r="C5" s="4" t="n">
        <v>1640</v>
      </c>
      <c r="D5" s="4" t="n">
        <v>70.24</v>
      </c>
      <c r="E5" s="4" t="n">
        <v>66.79</v>
      </c>
      <c r="F5" s="4" t="n">
        <v>370</v>
      </c>
      <c r="G5" s="4" t="n">
        <v>269</v>
      </c>
      <c r="H5" s="4" t="n">
        <v>159</v>
      </c>
      <c r="I5" s="4" t="n">
        <v>117</v>
      </c>
      <c r="J5" s="4" t="n">
        <v>83</v>
      </c>
      <c r="K5" s="4" t="n">
        <v>41</v>
      </c>
      <c r="L5" s="4" t="n">
        <v>31</v>
      </c>
      <c r="M5" s="4" t="n">
        <v>46</v>
      </c>
      <c r="N5" s="4" t="n">
        <v>22</v>
      </c>
      <c r="O5" s="4" t="n">
        <f aca="false">SUM(F5:N5)</f>
        <v>1138</v>
      </c>
      <c r="P5" s="11" t="n">
        <f aca="false">IFERROR(F5/O5,0)</f>
        <v>0.325131810193322</v>
      </c>
      <c r="Q5" s="11" t="n">
        <f aca="false">IFERROR(G5/O5,0)</f>
        <v>0.236379613356766</v>
      </c>
      <c r="R5" s="11" t="n">
        <f aca="false">IFERROR(H5/O5,0)</f>
        <v>0.139718804920914</v>
      </c>
      <c r="S5" s="11" t="n">
        <f aca="false">IFERROR(I5/O5,0)</f>
        <v>0.102811950790861</v>
      </c>
      <c r="T5" s="11" t="n">
        <f aca="false">IFERROR(J5/O5,0)</f>
        <v>0.0729349736379613</v>
      </c>
      <c r="U5" s="11" t="n">
        <f aca="false">IFERROR(K5/O5,0)</f>
        <v>0.0360281195079086</v>
      </c>
      <c r="V5" s="11" t="n">
        <f aca="false">IFERROR(L5/O5,0)</f>
        <v>0.0272407732864675</v>
      </c>
      <c r="W5" s="11" t="n">
        <f aca="false">IFERROR(M5/O5,0)</f>
        <v>0.0404217926186292</v>
      </c>
      <c r="X5" s="11" t="n">
        <f aca="false">IFERROR(N5/O5,0)</f>
        <v>0.0193321616871705</v>
      </c>
    </row>
    <row r="6" customFormat="false" ht="15" hidden="false" customHeight="true" outlineLevel="0" collapsed="false">
      <c r="A6" s="4" t="s">
        <v>52</v>
      </c>
      <c r="B6" s="4" t="s">
        <v>53</v>
      </c>
      <c r="C6" s="4" t="n">
        <v>1416</v>
      </c>
      <c r="D6" s="4" t="n">
        <v>65.32</v>
      </c>
      <c r="E6" s="4" t="n">
        <v>60.49</v>
      </c>
      <c r="F6" s="4" t="n">
        <v>398</v>
      </c>
      <c r="G6" s="4" t="n">
        <v>150</v>
      </c>
      <c r="H6" s="4" t="n">
        <v>68</v>
      </c>
      <c r="I6" s="4" t="n">
        <v>203</v>
      </c>
      <c r="J6" s="4" t="n">
        <v>30</v>
      </c>
      <c r="K6" s="4" t="n">
        <v>14</v>
      </c>
      <c r="L6" s="4" t="n">
        <v>14</v>
      </c>
      <c r="M6" s="4" t="n">
        <v>26</v>
      </c>
      <c r="N6" s="4" t="n">
        <v>13</v>
      </c>
      <c r="O6" s="4" t="n">
        <f aca="false">SUM(F6:N6)</f>
        <v>916</v>
      </c>
      <c r="P6" s="11" t="n">
        <f aca="false">IFERROR(F6/O6,0)</f>
        <v>0.434497816593887</v>
      </c>
      <c r="Q6" s="11" t="n">
        <f aca="false">IFERROR(G6/O6,0)</f>
        <v>0.163755458515284</v>
      </c>
      <c r="R6" s="11" t="n">
        <f aca="false">IFERROR(H6/O6,0)</f>
        <v>0.074235807860262</v>
      </c>
      <c r="S6" s="11" t="n">
        <f aca="false">IFERROR(I6/O6,0)</f>
        <v>0.221615720524017</v>
      </c>
      <c r="T6" s="11" t="n">
        <f aca="false">IFERROR(J6/O6,0)</f>
        <v>0.0327510917030568</v>
      </c>
      <c r="U6" s="11" t="n">
        <f aca="false">IFERROR(K6/O6,0)</f>
        <v>0.0152838427947598</v>
      </c>
      <c r="V6" s="11" t="n">
        <f aca="false">IFERROR(L6/O6,0)</f>
        <v>0.0152838427947598</v>
      </c>
      <c r="W6" s="11" t="n">
        <f aca="false">IFERROR(M6/O6,0)</f>
        <v>0.0283842794759825</v>
      </c>
      <c r="X6" s="11" t="n">
        <f aca="false">IFERROR(N6/O6,0)</f>
        <v>0.0141921397379913</v>
      </c>
    </row>
    <row r="7" customFormat="false" ht="15" hidden="false" customHeight="true" outlineLevel="0" collapsed="false">
      <c r="A7" s="4" t="s">
        <v>54</v>
      </c>
      <c r="B7" s="4" t="s">
        <v>55</v>
      </c>
      <c r="C7" s="4" t="n">
        <v>1530</v>
      </c>
      <c r="D7" s="4" t="n">
        <v>66.47</v>
      </c>
      <c r="E7" s="4" t="n">
        <v>61.76</v>
      </c>
      <c r="F7" s="4" t="n">
        <v>408</v>
      </c>
      <c r="G7" s="4" t="n">
        <v>185</v>
      </c>
      <c r="H7" s="4" t="n">
        <v>103</v>
      </c>
      <c r="I7" s="4" t="n">
        <v>180</v>
      </c>
      <c r="J7" s="4" t="n">
        <v>41</v>
      </c>
      <c r="K7" s="4" t="n">
        <v>27</v>
      </c>
      <c r="L7" s="4" t="n">
        <v>14</v>
      </c>
      <c r="M7" s="4" t="n">
        <v>32</v>
      </c>
      <c r="N7" s="4" t="n">
        <v>19</v>
      </c>
      <c r="O7" s="4" t="n">
        <f aca="false">SUM(F7:N7)</f>
        <v>1009</v>
      </c>
      <c r="P7" s="11" t="n">
        <f aca="false">IFERROR(F7/O7,0)</f>
        <v>0.404360753221011</v>
      </c>
      <c r="Q7" s="11" t="n">
        <f aca="false">IFERROR(G7/O7,0)</f>
        <v>0.183349851337958</v>
      </c>
      <c r="R7" s="11" t="n">
        <f aca="false">IFERROR(H7/O7,0)</f>
        <v>0.102081268582755</v>
      </c>
      <c r="S7" s="11" t="n">
        <f aca="false">IFERROR(I7/O7,0)</f>
        <v>0.178394449950446</v>
      </c>
      <c r="T7" s="11" t="n">
        <f aca="false">IFERROR(J7/O7,0)</f>
        <v>0.0406342913776016</v>
      </c>
      <c r="U7" s="11" t="n">
        <f aca="false">IFERROR(K7/O7,0)</f>
        <v>0.0267591674925669</v>
      </c>
      <c r="V7" s="11" t="n">
        <f aca="false">IFERROR(L7/O7,0)</f>
        <v>0.0138751238850347</v>
      </c>
      <c r="W7" s="11" t="n">
        <f aca="false">IFERROR(M7/O7,0)</f>
        <v>0.0317145688800793</v>
      </c>
      <c r="X7" s="11" t="n">
        <f aca="false">IFERROR(N7/O7,0)</f>
        <v>0.0188305252725471</v>
      </c>
    </row>
    <row r="8" customFormat="false" ht="15" hidden="false" customHeight="true" outlineLevel="0" collapsed="false">
      <c r="A8" s="4" t="s">
        <v>56</v>
      </c>
      <c r="B8" s="4" t="s">
        <v>57</v>
      </c>
      <c r="C8" s="4" t="n">
        <v>1091</v>
      </c>
      <c r="D8" s="4" t="n">
        <v>78.19</v>
      </c>
      <c r="E8" s="4" t="n">
        <v>77.35</v>
      </c>
      <c r="F8" s="4" t="n">
        <v>262</v>
      </c>
      <c r="G8" s="4" t="n">
        <v>171</v>
      </c>
      <c r="H8" s="4" t="n">
        <v>119</v>
      </c>
      <c r="I8" s="4" t="n">
        <v>67</v>
      </c>
      <c r="J8" s="4" t="n">
        <v>88</v>
      </c>
      <c r="K8" s="4" t="n">
        <v>27</v>
      </c>
      <c r="L8" s="4" t="n">
        <v>48</v>
      </c>
      <c r="M8" s="4" t="n">
        <v>49</v>
      </c>
      <c r="N8" s="4" t="n">
        <v>13</v>
      </c>
      <c r="O8" s="4" t="n">
        <f aca="false">SUM(F8:N8)</f>
        <v>844</v>
      </c>
      <c r="P8" s="11" t="n">
        <f aca="false">IFERROR(F8/O8,0)</f>
        <v>0.31042654028436</v>
      </c>
      <c r="Q8" s="11" t="n">
        <f aca="false">IFERROR(G8/O8,0)</f>
        <v>0.20260663507109</v>
      </c>
      <c r="R8" s="11" t="n">
        <f aca="false">IFERROR(H8/O8,0)</f>
        <v>0.140995260663507</v>
      </c>
      <c r="S8" s="11" t="n">
        <f aca="false">IFERROR(I8/O8,0)</f>
        <v>0.0793838862559242</v>
      </c>
      <c r="T8" s="11" t="n">
        <f aca="false">IFERROR(J8/O8,0)</f>
        <v>0.104265402843602</v>
      </c>
      <c r="U8" s="11" t="n">
        <f aca="false">IFERROR(K8/O8,0)</f>
        <v>0.0319905213270142</v>
      </c>
      <c r="V8" s="11" t="n">
        <f aca="false">IFERROR(L8/O8,0)</f>
        <v>0.0568720379146919</v>
      </c>
      <c r="W8" s="11" t="n">
        <f aca="false">IFERROR(M8/O8,0)</f>
        <v>0.0580568720379147</v>
      </c>
      <c r="X8" s="11" t="n">
        <f aca="false">IFERROR(N8/O8,0)</f>
        <v>0.0154028436018957</v>
      </c>
    </row>
    <row r="9" customFormat="false" ht="15" hidden="false" customHeight="true" outlineLevel="0" collapsed="false">
      <c r="A9" s="4" t="s">
        <v>58</v>
      </c>
      <c r="B9" s="4" t="s">
        <v>59</v>
      </c>
      <c r="C9" s="4" t="n">
        <v>1597</v>
      </c>
      <c r="D9" s="4" t="n">
        <v>69.32</v>
      </c>
      <c r="E9" s="4" t="n">
        <v>65.7</v>
      </c>
      <c r="F9" s="4" t="n">
        <v>410</v>
      </c>
      <c r="G9" s="4" t="n">
        <v>265</v>
      </c>
      <c r="H9" s="4" t="n">
        <v>103</v>
      </c>
      <c r="I9" s="4" t="n">
        <v>120</v>
      </c>
      <c r="J9" s="4" t="n">
        <v>65</v>
      </c>
      <c r="K9" s="4" t="n">
        <v>39</v>
      </c>
      <c r="L9" s="4" t="n">
        <v>30</v>
      </c>
      <c r="M9" s="4" t="n">
        <v>41</v>
      </c>
      <c r="N9" s="4" t="n">
        <v>19</v>
      </c>
      <c r="O9" s="4" t="n">
        <f aca="false">SUM(F9:N9)</f>
        <v>1092</v>
      </c>
      <c r="P9" s="11" t="n">
        <f aca="false">IFERROR(F9/O9,0)</f>
        <v>0.375457875457875</v>
      </c>
      <c r="Q9" s="11" t="n">
        <f aca="false">IFERROR(G9/O9,0)</f>
        <v>0.242673992673993</v>
      </c>
      <c r="R9" s="11" t="n">
        <f aca="false">IFERROR(H9/O9,0)</f>
        <v>0.0943223443223443</v>
      </c>
      <c r="S9" s="11" t="n">
        <f aca="false">IFERROR(I9/O9,0)</f>
        <v>0.10989010989011</v>
      </c>
      <c r="T9" s="11" t="n">
        <f aca="false">IFERROR(J9/O9,0)</f>
        <v>0.0595238095238095</v>
      </c>
      <c r="U9" s="11" t="n">
        <f aca="false">IFERROR(K9/O9,0)</f>
        <v>0.0357142857142857</v>
      </c>
      <c r="V9" s="11" t="n">
        <f aca="false">IFERROR(L9/O9,0)</f>
        <v>0.0274725274725275</v>
      </c>
      <c r="W9" s="11" t="n">
        <f aca="false">IFERROR(M9/O9,0)</f>
        <v>0.0375457875457875</v>
      </c>
      <c r="X9" s="11" t="n">
        <f aca="false">IFERROR(N9/O9,0)</f>
        <v>0.0173992673992674</v>
      </c>
    </row>
    <row r="10" customFormat="false" ht="15" hidden="false" customHeight="true" outlineLevel="0" collapsed="false">
      <c r="A10" s="4" t="s">
        <v>60</v>
      </c>
      <c r="B10" s="4" t="s">
        <v>61</v>
      </c>
      <c r="C10" s="4" t="n">
        <v>1428</v>
      </c>
      <c r="D10" s="4" t="n">
        <v>78.08</v>
      </c>
      <c r="E10" s="4" t="n">
        <v>77.26</v>
      </c>
      <c r="F10" s="4" t="n">
        <v>346</v>
      </c>
      <c r="G10" s="4" t="n">
        <v>314</v>
      </c>
      <c r="H10" s="4" t="n">
        <v>149</v>
      </c>
      <c r="I10" s="4" t="n">
        <v>82</v>
      </c>
      <c r="J10" s="4" t="n">
        <v>71</v>
      </c>
      <c r="K10" s="4" t="n">
        <v>48</v>
      </c>
      <c r="L10" s="4" t="n">
        <v>28</v>
      </c>
      <c r="M10" s="4" t="n">
        <v>46</v>
      </c>
      <c r="N10" s="4" t="n">
        <v>10</v>
      </c>
      <c r="O10" s="4" t="n">
        <f aca="false">SUM(F10:N10)</f>
        <v>1094</v>
      </c>
      <c r="P10" s="11" t="n">
        <f aca="false">IFERROR(F10/O10,0)</f>
        <v>0.316270566727605</v>
      </c>
      <c r="Q10" s="11" t="n">
        <f aca="false">IFERROR(G10/O10,0)</f>
        <v>0.287020109689214</v>
      </c>
      <c r="R10" s="11" t="n">
        <f aca="false">IFERROR(H10/O10,0)</f>
        <v>0.136197440585009</v>
      </c>
      <c r="S10" s="11" t="n">
        <f aca="false">IFERROR(I10/O10,0)</f>
        <v>0.0749542961608775</v>
      </c>
      <c r="T10" s="11" t="n">
        <f aca="false">IFERROR(J10/O10,0)</f>
        <v>0.0648994515539305</v>
      </c>
      <c r="U10" s="11" t="n">
        <f aca="false">IFERROR(K10/O10,0)</f>
        <v>0.0438756855575868</v>
      </c>
      <c r="V10" s="11" t="n">
        <f aca="false">IFERROR(L10/O10,0)</f>
        <v>0.0255941499085923</v>
      </c>
      <c r="W10" s="11" t="n">
        <f aca="false">IFERROR(M10/O10,0)</f>
        <v>0.0420475319926874</v>
      </c>
      <c r="X10" s="11" t="n">
        <f aca="false">IFERROR(N10/O10,0)</f>
        <v>0.00914076782449726</v>
      </c>
    </row>
    <row r="11" customFormat="false" ht="15" hidden="false" customHeight="true" outlineLevel="0" collapsed="false">
      <c r="A11" s="4" t="s">
        <v>62</v>
      </c>
      <c r="B11" s="4" t="s">
        <v>63</v>
      </c>
      <c r="C11" s="4" t="n">
        <v>1001</v>
      </c>
      <c r="D11" s="4" t="n">
        <v>77.72</v>
      </c>
      <c r="E11" s="4" t="n">
        <v>78.69</v>
      </c>
      <c r="F11" s="4" t="n">
        <v>267</v>
      </c>
      <c r="G11" s="4" t="n">
        <v>265</v>
      </c>
      <c r="H11" s="4" t="n">
        <v>82</v>
      </c>
      <c r="I11" s="4" t="n">
        <v>69</v>
      </c>
      <c r="J11" s="4" t="n">
        <v>29</v>
      </c>
      <c r="K11" s="4" t="n">
        <v>25</v>
      </c>
      <c r="L11" s="4" t="n">
        <v>5</v>
      </c>
      <c r="M11" s="4" t="n">
        <v>16</v>
      </c>
      <c r="N11" s="4" t="n">
        <v>9</v>
      </c>
      <c r="O11" s="4" t="n">
        <f aca="false">SUM(F11:N11)</f>
        <v>767</v>
      </c>
      <c r="P11" s="11" t="n">
        <f aca="false">IFERROR(F11/O11,0)</f>
        <v>0.348109517601043</v>
      </c>
      <c r="Q11" s="11" t="n">
        <f aca="false">IFERROR(G11/O11,0)</f>
        <v>0.345501955671447</v>
      </c>
      <c r="R11" s="11" t="n">
        <f aca="false">IFERROR(H11/O11,0)</f>
        <v>0.106910039113429</v>
      </c>
      <c r="S11" s="11" t="n">
        <f aca="false">IFERROR(I11/O11,0)</f>
        <v>0.0899608865710561</v>
      </c>
      <c r="T11" s="11" t="n">
        <f aca="false">IFERROR(J11/O11,0)</f>
        <v>0.0378096479791395</v>
      </c>
      <c r="U11" s="11" t="n">
        <f aca="false">IFERROR(K11/O11,0)</f>
        <v>0.0325945241199479</v>
      </c>
      <c r="V11" s="11" t="n">
        <f aca="false">IFERROR(L11/O11,0)</f>
        <v>0.00651890482398957</v>
      </c>
      <c r="W11" s="11" t="n">
        <f aca="false">IFERROR(M11/O11,0)</f>
        <v>0.0208604954367666</v>
      </c>
      <c r="X11" s="11" t="n">
        <f aca="false">IFERROR(N11/O11,0)</f>
        <v>0.0117340286831812</v>
      </c>
    </row>
    <row r="12" customFormat="false" ht="15" hidden="false" customHeight="true" outlineLevel="0" collapsed="false">
      <c r="A12" s="4" t="s">
        <v>64</v>
      </c>
      <c r="B12" s="4" t="s">
        <v>65</v>
      </c>
      <c r="C12" s="4" t="n">
        <v>1148</v>
      </c>
      <c r="D12" s="4" t="n">
        <v>77.96</v>
      </c>
      <c r="E12" s="4" t="n">
        <v>80.66</v>
      </c>
      <c r="F12" s="4" t="n">
        <v>402</v>
      </c>
      <c r="G12" s="4" t="n">
        <v>149</v>
      </c>
      <c r="H12" s="4" t="n">
        <v>123</v>
      </c>
      <c r="I12" s="4" t="n">
        <v>68</v>
      </c>
      <c r="J12" s="4" t="n">
        <v>67</v>
      </c>
      <c r="K12" s="4" t="n">
        <v>33</v>
      </c>
      <c r="L12" s="4" t="n">
        <v>17</v>
      </c>
      <c r="M12" s="4" t="n">
        <v>25</v>
      </c>
      <c r="N12" s="4" t="n">
        <v>5</v>
      </c>
      <c r="O12" s="4" t="n">
        <f aca="false">SUM(F12:N12)</f>
        <v>889</v>
      </c>
      <c r="P12" s="11" t="n">
        <f aca="false">IFERROR(F12/O12,0)</f>
        <v>0.452193475815523</v>
      </c>
      <c r="Q12" s="11" t="n">
        <f aca="false">IFERROR(G12/O12,0)</f>
        <v>0.167604049493813</v>
      </c>
      <c r="R12" s="11" t="n">
        <f aca="false">IFERROR(H12/O12,0)</f>
        <v>0.138357705286839</v>
      </c>
      <c r="S12" s="11" t="n">
        <f aca="false">IFERROR(I12/O12,0)</f>
        <v>0.0764904386951631</v>
      </c>
      <c r="T12" s="11" t="n">
        <f aca="false">IFERROR(J12/O12,0)</f>
        <v>0.0753655793025872</v>
      </c>
      <c r="U12" s="11" t="n">
        <f aca="false">IFERROR(K12/O12,0)</f>
        <v>0.0371203599550056</v>
      </c>
      <c r="V12" s="11" t="n">
        <f aca="false">IFERROR(L12/O12,0)</f>
        <v>0.0191226096737908</v>
      </c>
      <c r="W12" s="11" t="n">
        <f aca="false">IFERROR(M12/O12,0)</f>
        <v>0.0281214848143982</v>
      </c>
      <c r="X12" s="11" t="n">
        <f aca="false">IFERROR(N12/O12,0)</f>
        <v>0.00562429696287964</v>
      </c>
    </row>
    <row r="13" customFormat="false" ht="15" hidden="false" customHeight="true" outlineLevel="0" collapsed="false">
      <c r="A13" s="4" t="s">
        <v>66</v>
      </c>
      <c r="B13" s="4" t="s">
        <v>67</v>
      </c>
      <c r="C13" s="4" t="n">
        <v>1568</v>
      </c>
      <c r="D13" s="4" t="n">
        <v>62.63</v>
      </c>
      <c r="E13" s="4" t="n">
        <v>57.49</v>
      </c>
      <c r="F13" s="4" t="n">
        <v>455</v>
      </c>
      <c r="G13" s="4" t="n">
        <v>134</v>
      </c>
      <c r="H13" s="4" t="n">
        <v>34</v>
      </c>
      <c r="I13" s="4" t="n">
        <v>286</v>
      </c>
      <c r="J13" s="4" t="n">
        <v>13</v>
      </c>
      <c r="K13" s="4" t="n">
        <v>10</v>
      </c>
      <c r="L13" s="4" t="n">
        <v>12</v>
      </c>
      <c r="M13" s="4" t="n">
        <v>21</v>
      </c>
      <c r="N13" s="4" t="n">
        <v>12</v>
      </c>
      <c r="O13" s="4" t="n">
        <f aca="false">SUM(F13:N13)</f>
        <v>977</v>
      </c>
      <c r="P13" s="11" t="n">
        <f aca="false">IFERROR(F13/O13,0)</f>
        <v>0.465711361310133</v>
      </c>
      <c r="Q13" s="11" t="n">
        <f aca="false">IFERROR(G13/O13,0)</f>
        <v>0.137154554759468</v>
      </c>
      <c r="R13" s="11" t="n">
        <f aca="false">IFERROR(H13/O13,0)</f>
        <v>0.0348004094165814</v>
      </c>
      <c r="S13" s="11" t="n">
        <f aca="false">IFERROR(I13/O13,0)</f>
        <v>0.292732855680655</v>
      </c>
      <c r="T13" s="11" t="n">
        <f aca="false">IFERROR(J13/O13,0)</f>
        <v>0.0133060388945752</v>
      </c>
      <c r="U13" s="11" t="n">
        <f aca="false">IFERROR(K13/O13,0)</f>
        <v>0.0102354145342886</v>
      </c>
      <c r="V13" s="11" t="n">
        <f aca="false">IFERROR(L13/O13,0)</f>
        <v>0.0122824974411464</v>
      </c>
      <c r="W13" s="11" t="n">
        <f aca="false">IFERROR(M13/O13,0)</f>
        <v>0.0214943705220061</v>
      </c>
      <c r="X13" s="11" t="n">
        <f aca="false">IFERROR(N13/O13,0)</f>
        <v>0.0122824974411464</v>
      </c>
    </row>
    <row r="14" customFormat="false" ht="15" hidden="false" customHeight="true" outlineLevel="0" collapsed="false">
      <c r="A14" s="4" t="s">
        <v>68</v>
      </c>
      <c r="B14" s="4" t="s">
        <v>69</v>
      </c>
      <c r="C14" s="4" t="n">
        <v>1487</v>
      </c>
      <c r="D14" s="4" t="n">
        <v>71.22</v>
      </c>
      <c r="E14" s="4" t="n">
        <v>67.72</v>
      </c>
      <c r="F14" s="4" t="n">
        <v>428</v>
      </c>
      <c r="G14" s="4" t="n">
        <v>189</v>
      </c>
      <c r="H14" s="4" t="n">
        <v>106</v>
      </c>
      <c r="I14" s="4" t="n">
        <v>179</v>
      </c>
      <c r="J14" s="4" t="n">
        <v>55</v>
      </c>
      <c r="K14" s="4" t="n">
        <v>22</v>
      </c>
      <c r="L14" s="4" t="n">
        <v>28</v>
      </c>
      <c r="M14" s="4" t="n">
        <v>35</v>
      </c>
      <c r="N14" s="4" t="n">
        <v>8</v>
      </c>
      <c r="O14" s="4" t="n">
        <f aca="false">SUM(F14:N14)</f>
        <v>1050</v>
      </c>
      <c r="P14" s="11" t="n">
        <f aca="false">IFERROR(F14/O14,0)</f>
        <v>0.407619047619048</v>
      </c>
      <c r="Q14" s="11" t="n">
        <f aca="false">IFERROR(G14/O14,0)</f>
        <v>0.18</v>
      </c>
      <c r="R14" s="11" t="n">
        <f aca="false">IFERROR(H14/O14,0)</f>
        <v>0.100952380952381</v>
      </c>
      <c r="S14" s="11" t="n">
        <f aca="false">IFERROR(I14/O14,0)</f>
        <v>0.17047619047619</v>
      </c>
      <c r="T14" s="11" t="n">
        <f aca="false">IFERROR(J14/O14,0)</f>
        <v>0.0523809523809524</v>
      </c>
      <c r="U14" s="11" t="n">
        <f aca="false">IFERROR(K14/O14,0)</f>
        <v>0.020952380952381</v>
      </c>
      <c r="V14" s="11" t="n">
        <f aca="false">IFERROR(L14/O14,0)</f>
        <v>0.0266666666666667</v>
      </c>
      <c r="W14" s="11" t="n">
        <f aca="false">IFERROR(M14/O14,0)</f>
        <v>0.0333333333333333</v>
      </c>
      <c r="X14" s="11" t="n">
        <f aca="false">IFERROR(N14/O14,0)</f>
        <v>0.00761904761904762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4" t="n">
        <v>1448</v>
      </c>
      <c r="D15" s="4" t="n">
        <v>85.64</v>
      </c>
      <c r="E15" s="4" t="n">
        <v>83.16</v>
      </c>
      <c r="F15" s="4" t="n">
        <v>493</v>
      </c>
      <c r="G15" s="4" t="n">
        <v>289</v>
      </c>
      <c r="H15" s="4" t="n">
        <v>169</v>
      </c>
      <c r="I15" s="4" t="n">
        <v>53</v>
      </c>
      <c r="J15" s="4" t="n">
        <v>103</v>
      </c>
      <c r="K15" s="4" t="n">
        <v>44</v>
      </c>
      <c r="L15" s="4" t="n">
        <v>21</v>
      </c>
      <c r="M15" s="4" t="n">
        <v>41</v>
      </c>
      <c r="N15" s="4" t="n">
        <v>13</v>
      </c>
      <c r="O15" s="4" t="n">
        <f aca="false">SUM(F15:N15)</f>
        <v>1226</v>
      </c>
      <c r="P15" s="11" t="n">
        <f aca="false">IFERROR(F15/O15,0)</f>
        <v>0.402120717781403</v>
      </c>
      <c r="Q15" s="11" t="n">
        <f aca="false">IFERROR(G15/O15,0)</f>
        <v>0.235725938009788</v>
      </c>
      <c r="R15" s="11" t="n">
        <f aca="false">IFERROR(H15/O15,0)</f>
        <v>0.137846655791191</v>
      </c>
      <c r="S15" s="11" t="n">
        <f aca="false">IFERROR(I15/O15,0)</f>
        <v>0.0432300163132137</v>
      </c>
      <c r="T15" s="11" t="n">
        <f aca="false">IFERROR(J15/O15,0)</f>
        <v>0.0840130505709625</v>
      </c>
      <c r="U15" s="11" t="n">
        <f aca="false">IFERROR(K15/O15,0)</f>
        <v>0.0358890701468189</v>
      </c>
      <c r="V15" s="11" t="n">
        <f aca="false">IFERROR(L15/O15,0)</f>
        <v>0.0171288743882545</v>
      </c>
      <c r="W15" s="11" t="n">
        <f aca="false">IFERROR(M15/O15,0)</f>
        <v>0.033442088091354</v>
      </c>
      <c r="X15" s="11" t="n">
        <f aca="false">IFERROR(N15/O15,0)</f>
        <v>0.0106035889070147</v>
      </c>
    </row>
    <row r="16" customFormat="false" ht="15" hidden="false" customHeight="true" outlineLevel="0" collapsed="false">
      <c r="A16" s="4" t="s">
        <v>72</v>
      </c>
      <c r="B16" s="4" t="s">
        <v>73</v>
      </c>
      <c r="C16" s="4" t="n">
        <v>1558</v>
      </c>
      <c r="D16" s="4" t="n">
        <v>88.64</v>
      </c>
      <c r="E16" s="4" t="n">
        <v>89.41</v>
      </c>
      <c r="F16" s="4" t="n">
        <v>420</v>
      </c>
      <c r="G16" s="4" t="n">
        <v>298</v>
      </c>
      <c r="H16" s="4" t="n">
        <v>305</v>
      </c>
      <c r="I16" s="4" t="n">
        <v>26</v>
      </c>
      <c r="J16" s="4" t="n">
        <v>165</v>
      </c>
      <c r="K16" s="4" t="n">
        <v>41</v>
      </c>
      <c r="L16" s="4" t="n">
        <v>49</v>
      </c>
      <c r="M16" s="4" t="n">
        <v>45</v>
      </c>
      <c r="N16" s="4" t="n">
        <v>13</v>
      </c>
      <c r="O16" s="4" t="n">
        <f aca="false">SUM(F16:N16)</f>
        <v>1362</v>
      </c>
      <c r="P16" s="11" t="n">
        <f aca="false">IFERROR(F16/O16,0)</f>
        <v>0.308370044052863</v>
      </c>
      <c r="Q16" s="11" t="n">
        <f aca="false">IFERROR(G16/O16,0)</f>
        <v>0.218795888399413</v>
      </c>
      <c r="R16" s="11" t="n">
        <f aca="false">IFERROR(H16/O16,0)</f>
        <v>0.223935389133627</v>
      </c>
      <c r="S16" s="11" t="n">
        <f aca="false">IFERROR(I16/O16,0)</f>
        <v>0.0190895741556535</v>
      </c>
      <c r="T16" s="11" t="n">
        <f aca="false">IFERROR(J16/O16,0)</f>
        <v>0.121145374449339</v>
      </c>
      <c r="U16" s="11" t="n">
        <f aca="false">IFERROR(K16/O16,0)</f>
        <v>0.0301027900146843</v>
      </c>
      <c r="V16" s="11" t="n">
        <f aca="false">IFERROR(L16/O16,0)</f>
        <v>0.0359765051395007</v>
      </c>
      <c r="W16" s="11" t="n">
        <f aca="false">IFERROR(M16/O16,0)</f>
        <v>0.0330396475770925</v>
      </c>
      <c r="X16" s="11" t="n">
        <f aca="false">IFERROR(N16/O16,0)</f>
        <v>0.00954478707782673</v>
      </c>
    </row>
    <row r="17" customFormat="false" ht="15" hidden="false" customHeight="true" outlineLevel="0" collapsed="false">
      <c r="A17" s="4" t="s">
        <v>74</v>
      </c>
      <c r="B17" s="4" t="s">
        <v>75</v>
      </c>
      <c r="C17" s="4" t="n">
        <v>1707</v>
      </c>
      <c r="D17" s="4" t="n">
        <v>88.34</v>
      </c>
      <c r="E17" s="4" t="n">
        <v>90.52</v>
      </c>
      <c r="F17" s="4" t="n">
        <v>282</v>
      </c>
      <c r="G17" s="4" t="n">
        <v>276</v>
      </c>
      <c r="H17" s="4" t="n">
        <v>417</v>
      </c>
      <c r="I17" s="4" t="n">
        <v>15</v>
      </c>
      <c r="J17" s="4" t="n">
        <v>275</v>
      </c>
      <c r="K17" s="4" t="n">
        <v>78</v>
      </c>
      <c r="L17" s="4" t="n">
        <v>97</v>
      </c>
      <c r="M17" s="4" t="n">
        <v>51</v>
      </c>
      <c r="N17" s="4" t="n">
        <v>7</v>
      </c>
      <c r="O17" s="4" t="n">
        <f aca="false">SUM(F17:N17)</f>
        <v>1498</v>
      </c>
      <c r="P17" s="11" t="n">
        <f aca="false">IFERROR(F17/O17,0)</f>
        <v>0.188251001335114</v>
      </c>
      <c r="Q17" s="11" t="n">
        <f aca="false">IFERROR(G17/O17,0)</f>
        <v>0.184245660881175</v>
      </c>
      <c r="R17" s="11" t="n">
        <f aca="false">IFERROR(H17/O17,0)</f>
        <v>0.278371161548732</v>
      </c>
      <c r="S17" s="11" t="n">
        <f aca="false">IFERROR(I17/O17,0)</f>
        <v>0.0100133511348465</v>
      </c>
      <c r="T17" s="11" t="n">
        <f aca="false">IFERROR(J17/O17,0)</f>
        <v>0.183578104138852</v>
      </c>
      <c r="U17" s="11" t="n">
        <f aca="false">IFERROR(K17/O17,0)</f>
        <v>0.0520694259012016</v>
      </c>
      <c r="V17" s="11" t="n">
        <f aca="false">IFERROR(L17/O17,0)</f>
        <v>0.0647530040053405</v>
      </c>
      <c r="W17" s="11" t="n">
        <f aca="false">IFERROR(M17/O17,0)</f>
        <v>0.034045393858478</v>
      </c>
      <c r="X17" s="11" t="n">
        <f aca="false">IFERROR(N17/O17,0)</f>
        <v>0.00467289719626168</v>
      </c>
    </row>
    <row r="18" customFormat="false" ht="15" hidden="false" customHeight="true" outlineLevel="0" collapsed="false">
      <c r="A18" s="4" t="s">
        <v>76</v>
      </c>
      <c r="B18" s="4" t="s">
        <v>77</v>
      </c>
      <c r="C18" s="4" t="n">
        <v>1025</v>
      </c>
      <c r="D18" s="4" t="n">
        <v>92.68</v>
      </c>
      <c r="E18" s="4" t="n">
        <v>93.82</v>
      </c>
      <c r="F18" s="4" t="n">
        <v>216</v>
      </c>
      <c r="G18" s="4" t="n">
        <v>129</v>
      </c>
      <c r="H18" s="4" t="n">
        <v>288</v>
      </c>
      <c r="I18" s="4" t="n">
        <v>20</v>
      </c>
      <c r="J18" s="4" t="n">
        <v>147</v>
      </c>
      <c r="K18" s="4" t="n">
        <v>56</v>
      </c>
      <c r="L18" s="4" t="n">
        <v>57</v>
      </c>
      <c r="M18" s="4" t="n">
        <v>28</v>
      </c>
      <c r="N18" s="4" t="n">
        <v>3</v>
      </c>
      <c r="O18" s="4" t="n">
        <f aca="false">SUM(F18:N18)</f>
        <v>944</v>
      </c>
      <c r="P18" s="11" t="n">
        <f aca="false">IFERROR(F18/O18,0)</f>
        <v>0.228813559322034</v>
      </c>
      <c r="Q18" s="11" t="n">
        <f aca="false">IFERROR(G18/O18,0)</f>
        <v>0.136652542372881</v>
      </c>
      <c r="R18" s="11" t="n">
        <f aca="false">IFERROR(H18/O18,0)</f>
        <v>0.305084745762712</v>
      </c>
      <c r="S18" s="11" t="n">
        <f aca="false">IFERROR(I18/O18,0)</f>
        <v>0.0211864406779661</v>
      </c>
      <c r="T18" s="11" t="n">
        <f aca="false">IFERROR(J18/O18,0)</f>
        <v>0.155720338983051</v>
      </c>
      <c r="U18" s="11" t="n">
        <f aca="false">IFERROR(K18/O18,0)</f>
        <v>0.0593220338983051</v>
      </c>
      <c r="V18" s="11" t="n">
        <f aca="false">IFERROR(L18/O18,0)</f>
        <v>0.0603813559322034</v>
      </c>
      <c r="W18" s="11" t="n">
        <f aca="false">IFERROR(M18/O18,0)</f>
        <v>0.0296610169491525</v>
      </c>
      <c r="X18" s="11" t="n">
        <f aca="false">IFERROR(N18/O18,0)</f>
        <v>0.00317796610169492</v>
      </c>
    </row>
    <row r="19" customFormat="false" ht="15" hidden="false" customHeight="true" outlineLevel="0" collapsed="false">
      <c r="A19" s="4" t="s">
        <v>78</v>
      </c>
      <c r="B19" s="4" t="s">
        <v>79</v>
      </c>
      <c r="C19" s="4" t="n">
        <v>1492</v>
      </c>
      <c r="D19" s="4" t="n">
        <v>61.73</v>
      </c>
      <c r="E19" s="4" t="n">
        <v>60.62</v>
      </c>
      <c r="F19" s="4" t="n">
        <v>338</v>
      </c>
      <c r="G19" s="4" t="n">
        <v>178</v>
      </c>
      <c r="H19" s="4" t="n">
        <v>67</v>
      </c>
      <c r="I19" s="4" t="n">
        <v>210</v>
      </c>
      <c r="J19" s="4" t="n">
        <v>34</v>
      </c>
      <c r="K19" s="4" t="n">
        <v>13</v>
      </c>
      <c r="L19" s="4" t="n">
        <v>12</v>
      </c>
      <c r="M19" s="4" t="n">
        <v>39</v>
      </c>
      <c r="N19" s="4" t="n">
        <v>19</v>
      </c>
      <c r="O19" s="4" t="n">
        <f aca="false">SUM(F19:N19)</f>
        <v>910</v>
      </c>
      <c r="P19" s="11" t="n">
        <f aca="false">IFERROR(F19/O19,0)</f>
        <v>0.371428571428571</v>
      </c>
      <c r="Q19" s="11" t="n">
        <f aca="false">IFERROR(G19/O19,0)</f>
        <v>0.195604395604396</v>
      </c>
      <c r="R19" s="11" t="n">
        <f aca="false">IFERROR(H19/O19,0)</f>
        <v>0.0736263736263736</v>
      </c>
      <c r="S19" s="11" t="n">
        <f aca="false">IFERROR(I19/O19,0)</f>
        <v>0.230769230769231</v>
      </c>
      <c r="T19" s="11" t="n">
        <f aca="false">IFERROR(J19/O19,0)</f>
        <v>0.0373626373626374</v>
      </c>
      <c r="U19" s="11" t="n">
        <f aca="false">IFERROR(K19/O19,0)</f>
        <v>0.0142857142857143</v>
      </c>
      <c r="V19" s="11" t="n">
        <f aca="false">IFERROR(L19/O19,0)</f>
        <v>0.0131868131868132</v>
      </c>
      <c r="W19" s="11" t="n">
        <f aca="false">IFERROR(M19/O19,0)</f>
        <v>0.0428571428571429</v>
      </c>
      <c r="X19" s="11" t="n">
        <f aca="false">IFERROR(N19/O19,0)</f>
        <v>0.0208791208791209</v>
      </c>
    </row>
    <row r="20" customFormat="false" ht="15" hidden="false" customHeight="true" outlineLevel="0" collapsed="false">
      <c r="A20" s="4" t="s">
        <v>80</v>
      </c>
      <c r="B20" s="4" t="s">
        <v>81</v>
      </c>
      <c r="C20" s="4" t="n">
        <v>315</v>
      </c>
      <c r="D20" s="4" t="n">
        <v>88.57</v>
      </c>
      <c r="E20" s="4" t="n">
        <v>81.23</v>
      </c>
      <c r="F20" s="4" t="n">
        <v>49</v>
      </c>
      <c r="G20" s="4" t="n">
        <v>49</v>
      </c>
      <c r="H20" s="4" t="n">
        <v>60</v>
      </c>
      <c r="I20" s="4" t="n">
        <v>13</v>
      </c>
      <c r="J20" s="4" t="n">
        <v>35</v>
      </c>
      <c r="K20" s="4" t="n">
        <v>13</v>
      </c>
      <c r="L20" s="4" t="n">
        <v>24</v>
      </c>
      <c r="M20" s="4" t="n">
        <v>30</v>
      </c>
      <c r="N20" s="4" t="n">
        <v>5</v>
      </c>
      <c r="O20" s="4" t="n">
        <f aca="false">SUM(F20:N20)</f>
        <v>278</v>
      </c>
      <c r="P20" s="11" t="n">
        <f aca="false">IFERROR(F20/O20,0)</f>
        <v>0.176258992805755</v>
      </c>
      <c r="Q20" s="11" t="n">
        <f aca="false">IFERROR(G20/O20,0)</f>
        <v>0.176258992805755</v>
      </c>
      <c r="R20" s="11" t="n">
        <f aca="false">IFERROR(H20/O20,0)</f>
        <v>0.215827338129496</v>
      </c>
      <c r="S20" s="11" t="n">
        <f aca="false">IFERROR(I20/O20,0)</f>
        <v>0.0467625899280576</v>
      </c>
      <c r="T20" s="11" t="n">
        <f aca="false">IFERROR(J20/O20,0)</f>
        <v>0.12589928057554</v>
      </c>
      <c r="U20" s="11" t="n">
        <f aca="false">IFERROR(K20/O20,0)</f>
        <v>0.0467625899280576</v>
      </c>
      <c r="V20" s="11" t="n">
        <f aca="false">IFERROR(L20/O20,0)</f>
        <v>0.0863309352517986</v>
      </c>
      <c r="W20" s="11" t="n">
        <f aca="false">IFERROR(M20/O20,0)</f>
        <v>0.107913669064748</v>
      </c>
      <c r="X20" s="11" t="n">
        <f aca="false">IFERROR(N20/O20,0)</f>
        <v>0.0179856115107914</v>
      </c>
    </row>
    <row r="21" customFormat="false" ht="15" hidden="false" customHeight="true" outlineLevel="0" collapsed="false">
      <c r="A21" s="4" t="s">
        <v>82</v>
      </c>
      <c r="B21" s="4" t="s">
        <v>83</v>
      </c>
      <c r="C21" s="4" t="n">
        <v>1295</v>
      </c>
      <c r="D21" s="4" t="n">
        <v>84.32</v>
      </c>
      <c r="E21" s="4" t="n">
        <v>84.94</v>
      </c>
      <c r="F21" s="4" t="n">
        <v>172</v>
      </c>
      <c r="G21" s="4" t="n">
        <v>335</v>
      </c>
      <c r="H21" s="4" t="n">
        <v>219</v>
      </c>
      <c r="I21" s="4" t="n">
        <v>42</v>
      </c>
      <c r="J21" s="4" t="n">
        <v>106</v>
      </c>
      <c r="K21" s="4" t="n">
        <v>63</v>
      </c>
      <c r="L21" s="4" t="n">
        <v>67</v>
      </c>
      <c r="M21" s="4" t="n">
        <v>63</v>
      </c>
      <c r="N21" s="4" t="n">
        <v>18</v>
      </c>
      <c r="O21" s="4" t="n">
        <f aca="false">SUM(F21:N21)</f>
        <v>1085</v>
      </c>
      <c r="P21" s="11" t="n">
        <f aca="false">IFERROR(F21/O21,0)</f>
        <v>0.15852534562212</v>
      </c>
      <c r="Q21" s="11" t="n">
        <f aca="false">IFERROR(G21/O21,0)</f>
        <v>0.308755760368664</v>
      </c>
      <c r="R21" s="11" t="n">
        <f aca="false">IFERROR(H21/O21,0)</f>
        <v>0.20184331797235</v>
      </c>
      <c r="S21" s="11" t="n">
        <f aca="false">IFERROR(I21/O21,0)</f>
        <v>0.0387096774193548</v>
      </c>
      <c r="T21" s="11" t="n">
        <f aca="false">IFERROR(J21/O21,0)</f>
        <v>0.0976958525345622</v>
      </c>
      <c r="U21" s="11" t="n">
        <f aca="false">IFERROR(K21/O21,0)</f>
        <v>0.0580645161290323</v>
      </c>
      <c r="V21" s="11" t="n">
        <f aca="false">IFERROR(L21/O21,0)</f>
        <v>0.0617511520737327</v>
      </c>
      <c r="W21" s="11" t="n">
        <f aca="false">IFERROR(M21/O21,0)</f>
        <v>0.0580645161290323</v>
      </c>
      <c r="X21" s="11" t="n">
        <f aca="false">IFERROR(N21/O21,0)</f>
        <v>0.0165898617511521</v>
      </c>
    </row>
    <row r="22" customFormat="false" ht="15" hidden="false" customHeight="true" outlineLevel="0" collapsed="false">
      <c r="A22" s="4" t="s">
        <v>84</v>
      </c>
      <c r="B22" s="4" t="s">
        <v>85</v>
      </c>
      <c r="C22" s="4" t="n">
        <v>1709</v>
      </c>
      <c r="D22" s="4" t="n">
        <v>83.85</v>
      </c>
      <c r="E22" s="4" t="n">
        <v>83.23</v>
      </c>
      <c r="F22" s="4" t="n">
        <v>305</v>
      </c>
      <c r="G22" s="4" t="n">
        <v>401</v>
      </c>
      <c r="H22" s="4" t="n">
        <v>361</v>
      </c>
      <c r="I22" s="4" t="n">
        <v>41</v>
      </c>
      <c r="J22" s="4" t="n">
        <v>114</v>
      </c>
      <c r="K22" s="4" t="n">
        <v>78</v>
      </c>
      <c r="L22" s="4" t="n">
        <v>62</v>
      </c>
      <c r="M22" s="4" t="n">
        <v>41</v>
      </c>
      <c r="N22" s="4" t="n">
        <v>19</v>
      </c>
      <c r="O22" s="4" t="n">
        <f aca="false">SUM(F22:N22)</f>
        <v>1422</v>
      </c>
      <c r="P22" s="11" t="n">
        <f aca="false">IFERROR(F22/O22,0)</f>
        <v>0.214486638537271</v>
      </c>
      <c r="Q22" s="11" t="n">
        <f aca="false">IFERROR(G22/O22,0)</f>
        <v>0.281997187060478</v>
      </c>
      <c r="R22" s="11" t="n">
        <f aca="false">IFERROR(H22/O22,0)</f>
        <v>0.253867791842475</v>
      </c>
      <c r="S22" s="11" t="n">
        <f aca="false">IFERROR(I22/O22,0)</f>
        <v>0.0288326300984529</v>
      </c>
      <c r="T22" s="11" t="n">
        <f aca="false">IFERROR(J22/O22,0)</f>
        <v>0.080168776371308</v>
      </c>
      <c r="U22" s="11" t="n">
        <f aca="false">IFERROR(K22/O22,0)</f>
        <v>0.0548523206751055</v>
      </c>
      <c r="V22" s="11" t="n">
        <f aca="false">IFERROR(L22/O22,0)</f>
        <v>0.0436005625879044</v>
      </c>
      <c r="W22" s="11" t="n">
        <f aca="false">IFERROR(M22/O22,0)</f>
        <v>0.0288326300984529</v>
      </c>
      <c r="X22" s="11" t="n">
        <f aca="false">IFERROR(N22/O22,0)</f>
        <v>0.0133614627285513</v>
      </c>
    </row>
    <row r="23" customFormat="false" ht="15" hidden="false" customHeight="true" outlineLevel="0" collapsed="false">
      <c r="A23" s="4" t="s">
        <v>86</v>
      </c>
      <c r="B23" s="4" t="s">
        <v>87</v>
      </c>
      <c r="C23" s="4" t="n">
        <v>1619</v>
      </c>
      <c r="D23" s="4" t="n">
        <v>87.28</v>
      </c>
      <c r="E23" s="4" t="n">
        <v>87.52</v>
      </c>
      <c r="F23" s="4" t="n">
        <v>338</v>
      </c>
      <c r="G23" s="4" t="n">
        <v>394</v>
      </c>
      <c r="H23" s="4" t="n">
        <v>334</v>
      </c>
      <c r="I23" s="4" t="n">
        <v>38</v>
      </c>
      <c r="J23" s="4" t="n">
        <v>113</v>
      </c>
      <c r="K23" s="4" t="n">
        <v>84</v>
      </c>
      <c r="L23" s="4" t="n">
        <v>56</v>
      </c>
      <c r="M23" s="4" t="n">
        <v>27</v>
      </c>
      <c r="N23" s="4" t="n">
        <v>15</v>
      </c>
      <c r="O23" s="4" t="n">
        <f aca="false">SUM(F23:N23)</f>
        <v>1399</v>
      </c>
      <c r="P23" s="11" t="n">
        <f aca="false">IFERROR(F23/O23,0)</f>
        <v>0.241601143674053</v>
      </c>
      <c r="Q23" s="11" t="n">
        <f aca="false">IFERROR(G23/O23,0)</f>
        <v>0.281629735525375</v>
      </c>
      <c r="R23" s="11" t="n">
        <f aca="false">IFERROR(H23/O23,0)</f>
        <v>0.238741958541816</v>
      </c>
      <c r="S23" s="11" t="n">
        <f aca="false">IFERROR(I23/O23,0)</f>
        <v>0.0271622587562545</v>
      </c>
      <c r="T23" s="11" t="n">
        <f aca="false">IFERROR(J23/O23,0)</f>
        <v>0.0807719799857041</v>
      </c>
      <c r="U23" s="11" t="n">
        <f aca="false">IFERROR(K23/O23,0)</f>
        <v>0.0600428877769836</v>
      </c>
      <c r="V23" s="11" t="n">
        <f aca="false">IFERROR(L23/O23,0)</f>
        <v>0.0400285918513224</v>
      </c>
      <c r="W23" s="11" t="n">
        <f aca="false">IFERROR(M23/O23,0)</f>
        <v>0.0192994996426019</v>
      </c>
      <c r="X23" s="11" t="n">
        <f aca="false">IFERROR(N23/O23,0)</f>
        <v>0.0107219442458899</v>
      </c>
    </row>
    <row r="24" customFormat="false" ht="15" hidden="false" customHeight="true" outlineLevel="0" collapsed="false">
      <c r="A24" s="4" t="s">
        <v>88</v>
      </c>
      <c r="B24" s="4" t="s">
        <v>89</v>
      </c>
      <c r="C24" s="4" t="n">
        <v>1621</v>
      </c>
      <c r="D24" s="4" t="n">
        <v>86.61</v>
      </c>
      <c r="E24" s="4" t="n">
        <v>86.05</v>
      </c>
      <c r="F24" s="4" t="n">
        <v>292</v>
      </c>
      <c r="G24" s="4" t="n">
        <v>441</v>
      </c>
      <c r="H24" s="4" t="n">
        <v>307</v>
      </c>
      <c r="I24" s="4" t="n">
        <v>57</v>
      </c>
      <c r="J24" s="4" t="n">
        <v>116</v>
      </c>
      <c r="K24" s="4" t="n">
        <v>69</v>
      </c>
      <c r="L24" s="4" t="n">
        <v>58</v>
      </c>
      <c r="M24" s="4" t="n">
        <v>35</v>
      </c>
      <c r="N24" s="4" t="n">
        <v>15</v>
      </c>
      <c r="O24" s="4" t="n">
        <f aca="false">SUM(F24:N24)</f>
        <v>1390</v>
      </c>
      <c r="P24" s="11" t="n">
        <f aca="false">IFERROR(F24/O24,0)</f>
        <v>0.210071942446043</v>
      </c>
      <c r="Q24" s="11" t="n">
        <f aca="false">IFERROR(G24/O24,0)</f>
        <v>0.31726618705036</v>
      </c>
      <c r="R24" s="11" t="n">
        <f aca="false">IFERROR(H24/O24,0)</f>
        <v>0.220863309352518</v>
      </c>
      <c r="S24" s="11" t="n">
        <f aca="false">IFERROR(I24/O24,0)</f>
        <v>0.0410071942446043</v>
      </c>
      <c r="T24" s="11" t="n">
        <f aca="false">IFERROR(J24/O24,0)</f>
        <v>0.083453237410072</v>
      </c>
      <c r="U24" s="11" t="n">
        <f aca="false">IFERROR(K24/O24,0)</f>
        <v>0.0496402877697842</v>
      </c>
      <c r="V24" s="11" t="n">
        <f aca="false">IFERROR(L24/O24,0)</f>
        <v>0.041726618705036</v>
      </c>
      <c r="W24" s="11" t="n">
        <f aca="false">IFERROR(M24/O24,0)</f>
        <v>0.0251798561151079</v>
      </c>
      <c r="X24" s="11" t="n">
        <f aca="false">IFERROR(N24/O24,0)</f>
        <v>0.0107913669064748</v>
      </c>
    </row>
    <row r="25" customFormat="false" ht="15" hidden="false" customHeight="true" outlineLevel="0" collapsed="false">
      <c r="A25" s="4" t="s">
        <v>90</v>
      </c>
      <c r="B25" s="4" t="s">
        <v>91</v>
      </c>
      <c r="C25" s="4" t="n">
        <v>943</v>
      </c>
      <c r="D25" s="4" t="n">
        <v>85.58</v>
      </c>
      <c r="E25" s="4" t="n">
        <v>88.16</v>
      </c>
      <c r="F25" s="4" t="n">
        <v>190</v>
      </c>
      <c r="G25" s="4" t="n">
        <v>226</v>
      </c>
      <c r="H25" s="4" t="n">
        <v>137</v>
      </c>
      <c r="I25" s="4" t="n">
        <v>68</v>
      </c>
      <c r="J25" s="4" t="n">
        <v>65</v>
      </c>
      <c r="K25" s="4" t="n">
        <v>40</v>
      </c>
      <c r="L25" s="4" t="n">
        <v>39</v>
      </c>
      <c r="M25" s="4" t="n">
        <v>21</v>
      </c>
      <c r="N25" s="4" t="n">
        <v>11</v>
      </c>
      <c r="O25" s="4" t="n">
        <f aca="false">SUM(F25:N25)</f>
        <v>797</v>
      </c>
      <c r="P25" s="11" t="n">
        <f aca="false">IFERROR(F25/O25,0)</f>
        <v>0.238393977415307</v>
      </c>
      <c r="Q25" s="11" t="n">
        <f aca="false">IFERROR(G25/O25,0)</f>
        <v>0.283563362609787</v>
      </c>
      <c r="R25" s="11" t="n">
        <f aca="false">IFERROR(H25/O25,0)</f>
        <v>0.17189460476788</v>
      </c>
      <c r="S25" s="11" t="n">
        <f aca="false">IFERROR(I25/O25,0)</f>
        <v>0.0853199498117942</v>
      </c>
      <c r="T25" s="11" t="n">
        <f aca="false">IFERROR(J25/O25,0)</f>
        <v>0.081555834378921</v>
      </c>
      <c r="U25" s="11" t="n">
        <f aca="false">IFERROR(K25/O25,0)</f>
        <v>0.0501882057716437</v>
      </c>
      <c r="V25" s="11" t="n">
        <f aca="false">IFERROR(L25/O25,0)</f>
        <v>0.0489335006273526</v>
      </c>
      <c r="W25" s="11" t="n">
        <f aca="false">IFERROR(M25/O25,0)</f>
        <v>0.0263488080301129</v>
      </c>
      <c r="X25" s="11" t="n">
        <f aca="false">IFERROR(N25/O25,0)</f>
        <v>0.013801756587202</v>
      </c>
    </row>
    <row r="26" customFormat="false" ht="15" hidden="false" customHeight="true" outlineLevel="0" collapsed="false">
      <c r="A26" s="4" t="s">
        <v>92</v>
      </c>
      <c r="B26" s="4" t="s">
        <v>93</v>
      </c>
      <c r="C26" s="4" t="n">
        <v>1229</v>
      </c>
      <c r="D26" s="4" t="n">
        <v>87.31</v>
      </c>
      <c r="E26" s="4" t="n">
        <v>88.96</v>
      </c>
      <c r="F26" s="4" t="n">
        <v>223</v>
      </c>
      <c r="G26" s="4" t="n">
        <v>187</v>
      </c>
      <c r="H26" s="4" t="n">
        <v>301</v>
      </c>
      <c r="I26" s="4" t="n">
        <v>14</v>
      </c>
      <c r="J26" s="4" t="n">
        <v>128</v>
      </c>
      <c r="K26" s="4" t="n">
        <v>52</v>
      </c>
      <c r="L26" s="4" t="n">
        <v>83</v>
      </c>
      <c r="M26" s="4" t="n">
        <v>63</v>
      </c>
      <c r="N26" s="4" t="n">
        <v>13</v>
      </c>
      <c r="O26" s="4" t="n">
        <f aca="false">SUM(F26:N26)</f>
        <v>1064</v>
      </c>
      <c r="P26" s="11" t="n">
        <f aca="false">IFERROR(F26/O26,0)</f>
        <v>0.209586466165414</v>
      </c>
      <c r="Q26" s="11" t="n">
        <f aca="false">IFERROR(G26/O26,0)</f>
        <v>0.175751879699248</v>
      </c>
      <c r="R26" s="11" t="n">
        <f aca="false">IFERROR(H26/O26,0)</f>
        <v>0.282894736842105</v>
      </c>
      <c r="S26" s="11" t="n">
        <f aca="false">IFERROR(I26/O26,0)</f>
        <v>0.0131578947368421</v>
      </c>
      <c r="T26" s="11" t="n">
        <f aca="false">IFERROR(J26/O26,0)</f>
        <v>0.120300751879699</v>
      </c>
      <c r="U26" s="11" t="n">
        <f aca="false">IFERROR(K26/O26,0)</f>
        <v>0.0488721804511278</v>
      </c>
      <c r="V26" s="11" t="n">
        <f aca="false">IFERROR(L26/O26,0)</f>
        <v>0.0780075187969925</v>
      </c>
      <c r="W26" s="11" t="n">
        <f aca="false">IFERROR(M26/O26,0)</f>
        <v>0.0592105263157895</v>
      </c>
      <c r="X26" s="11" t="n">
        <f aca="false">IFERROR(N26/O26,0)</f>
        <v>0.012218045112782</v>
      </c>
    </row>
    <row r="27" customFormat="false" ht="15" hidden="false" customHeight="true" outlineLevel="0" collapsed="false">
      <c r="A27" s="4" t="s">
        <v>94</v>
      </c>
      <c r="B27" s="4" t="s">
        <v>95</v>
      </c>
      <c r="C27" s="4" t="n">
        <v>1012</v>
      </c>
      <c r="D27" s="4" t="n">
        <v>86.66</v>
      </c>
      <c r="E27" s="4" t="n">
        <v>87.25</v>
      </c>
      <c r="F27" s="4" t="n">
        <v>168</v>
      </c>
      <c r="G27" s="4" t="n">
        <v>161</v>
      </c>
      <c r="H27" s="4" t="n">
        <v>232</v>
      </c>
      <c r="I27" s="4" t="n">
        <v>17</v>
      </c>
      <c r="J27" s="4" t="n">
        <v>102</v>
      </c>
      <c r="K27" s="4" t="n">
        <v>57</v>
      </c>
      <c r="L27" s="4" t="n">
        <v>82</v>
      </c>
      <c r="M27" s="4" t="n">
        <v>45</v>
      </c>
      <c r="N27" s="4" t="n">
        <v>7</v>
      </c>
      <c r="O27" s="4" t="n">
        <f aca="false">SUM(F27:N27)</f>
        <v>871</v>
      </c>
      <c r="P27" s="11" t="n">
        <f aca="false">IFERROR(F27/O27,0)</f>
        <v>0.192881745120551</v>
      </c>
      <c r="Q27" s="11" t="n">
        <f aca="false">IFERROR(G27/O27,0)</f>
        <v>0.184845005740528</v>
      </c>
      <c r="R27" s="11" t="n">
        <f aca="false">IFERROR(H27/O27,0)</f>
        <v>0.266360505166475</v>
      </c>
      <c r="S27" s="11" t="n">
        <f aca="false">IFERROR(I27/O27,0)</f>
        <v>0.0195177956371986</v>
      </c>
      <c r="T27" s="11" t="n">
        <f aca="false">IFERROR(J27/O27,0)</f>
        <v>0.117106773823192</v>
      </c>
      <c r="U27" s="11" t="n">
        <f aca="false">IFERROR(K27/O27,0)</f>
        <v>0.0654420206659013</v>
      </c>
      <c r="V27" s="11" t="n">
        <f aca="false">IFERROR(L27/O27,0)</f>
        <v>0.0941446613088404</v>
      </c>
      <c r="W27" s="11" t="n">
        <f aca="false">IFERROR(M27/O27,0)</f>
        <v>0.0516647531572905</v>
      </c>
      <c r="X27" s="11" t="n">
        <f aca="false">IFERROR(N27/O27,0)</f>
        <v>0.00803673938002296</v>
      </c>
    </row>
    <row r="28" customFormat="false" ht="15" hidden="false" customHeight="true" outlineLevel="0" collapsed="false">
      <c r="A28" s="4" t="s">
        <v>146</v>
      </c>
      <c r="B28" s="4" t="s">
        <v>147</v>
      </c>
      <c r="C28" s="4"/>
      <c r="D28" s="4"/>
      <c r="E28" s="4"/>
      <c r="F28" s="4" t="n">
        <v>263</v>
      </c>
      <c r="G28" s="4" t="n">
        <v>185</v>
      </c>
      <c r="H28" s="4" t="n">
        <v>176</v>
      </c>
      <c r="I28" s="4" t="n">
        <v>96</v>
      </c>
      <c r="J28" s="4" t="n">
        <v>67</v>
      </c>
      <c r="K28" s="4" t="n">
        <v>28</v>
      </c>
      <c r="L28" s="4" t="n">
        <v>64</v>
      </c>
      <c r="M28" s="4" t="n">
        <v>43</v>
      </c>
      <c r="N28" s="4" t="n">
        <v>13</v>
      </c>
      <c r="O28" s="4" t="n">
        <f aca="false">SUM(F28:N28)</f>
        <v>935</v>
      </c>
      <c r="P28" s="11" t="n">
        <f aca="false">IFERROR(F28/O28,0)</f>
        <v>0.281283422459893</v>
      </c>
      <c r="Q28" s="11" t="n">
        <f aca="false">IFERROR(G28/O28,0)</f>
        <v>0.197860962566845</v>
      </c>
      <c r="R28" s="11" t="n">
        <f aca="false">IFERROR(H28/O28,0)</f>
        <v>0.188235294117647</v>
      </c>
      <c r="S28" s="11" t="n">
        <f aca="false">IFERROR(I28/O28,0)</f>
        <v>0.102673796791444</v>
      </c>
      <c r="T28" s="11" t="n">
        <f aca="false">IFERROR(J28/O28,0)</f>
        <v>0.0716577540106952</v>
      </c>
      <c r="U28" s="11" t="n">
        <f aca="false">IFERROR(K28/O28,0)</f>
        <v>0.0299465240641711</v>
      </c>
      <c r="V28" s="11" t="n">
        <f aca="false">IFERROR(L28/O28,0)</f>
        <v>0.0684491978609626</v>
      </c>
      <c r="W28" s="11" t="n">
        <f aca="false">IFERROR(M28/O28,0)</f>
        <v>0.0459893048128342</v>
      </c>
      <c r="X28" s="11" t="n">
        <f aca="false">IFERROR(N28/O28,0)</f>
        <v>0.013903743315508</v>
      </c>
    </row>
    <row r="29" customFormat="false" ht="15" hidden="false" customHeight="true" outlineLevel="0" collapsed="false">
      <c r="A29" s="3"/>
      <c r="B29" s="3" t="s">
        <v>148</v>
      </c>
      <c r="C29" s="3" t="n">
        <f aca="false">SUM(C2:C28)</f>
        <v>35507</v>
      </c>
      <c r="D29" s="3"/>
      <c r="E29" s="3"/>
      <c r="F29" s="3" t="n">
        <f aca="false">SUM(F2:F28)</f>
        <v>8559</v>
      </c>
      <c r="G29" s="3" t="n">
        <f aca="false">SUM(G2:G28)</f>
        <v>6466</v>
      </c>
      <c r="H29" s="3" t="n">
        <f aca="false">SUM(H2:H28)</f>
        <v>4845</v>
      </c>
      <c r="I29" s="3" t="n">
        <f aca="false">SUM(I2:I28)</f>
        <v>2454</v>
      </c>
      <c r="J29" s="3" t="n">
        <f aca="false">SUM(J2:J28)</f>
        <v>2394</v>
      </c>
      <c r="K29" s="3" t="n">
        <f aca="false">SUM(K2:K28)</f>
        <v>1099</v>
      </c>
      <c r="L29" s="3" t="n">
        <f aca="false">SUM(L2:L28)</f>
        <v>1098</v>
      </c>
      <c r="M29" s="3" t="n">
        <f aca="false">SUM(M2:M28)</f>
        <v>1041</v>
      </c>
      <c r="N29" s="3" t="n">
        <f aca="false">SUM(N2:N28)</f>
        <v>343</v>
      </c>
      <c r="O29" s="3" t="n">
        <f aca="false">SUM(O2:O28)</f>
        <v>28299</v>
      </c>
      <c r="P29" s="12" t="n">
        <f aca="false">F29/O29</f>
        <v>0.302448849782678</v>
      </c>
      <c r="Q29" s="12" t="n">
        <f aca="false">G29/O29</f>
        <v>0.228488639174529</v>
      </c>
      <c r="R29" s="12" t="n">
        <f aca="false">H29/O29</f>
        <v>0.171207463161242</v>
      </c>
      <c r="S29" s="12" t="n">
        <f aca="false">I29/O29</f>
        <v>0.0867168451182021</v>
      </c>
      <c r="T29" s="12" t="n">
        <f aca="false">J29/O29</f>
        <v>0.0845966288561433</v>
      </c>
      <c r="U29" s="12" t="n">
        <f aca="false">K29/O29</f>
        <v>0.0388352945333757</v>
      </c>
      <c r="V29" s="12" t="n">
        <f aca="false">L29/O29</f>
        <v>0.0387999575956748</v>
      </c>
      <c r="W29" s="12" t="n">
        <f aca="false">M29/O29</f>
        <v>0.036785752146719</v>
      </c>
      <c r="X29" s="12" t="n">
        <f aca="false">N29/O29</f>
        <v>0.0121205696314357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" t="s">
        <v>149</v>
      </c>
      <c r="B1" s="5" t="s">
        <v>150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</row>
    <row r="2" customFormat="false" ht="15" hidden="false" customHeight="true" outlineLevel="0" collapsed="false">
      <c r="A2" s="4" t="s">
        <v>140</v>
      </c>
      <c r="B2" s="4" t="n">
        <v>12820101</v>
      </c>
      <c r="C2" s="4" t="s">
        <v>45</v>
      </c>
      <c r="D2" s="4" t="s">
        <v>99</v>
      </c>
      <c r="E2" s="4" t="n">
        <v>317</v>
      </c>
      <c r="F2" s="4" t="n">
        <v>27.9</v>
      </c>
      <c r="G2" s="4" t="n">
        <v>320</v>
      </c>
      <c r="H2" s="4" t="n">
        <v>27.42</v>
      </c>
      <c r="I2" s="4" t="n">
        <v>0.48</v>
      </c>
    </row>
    <row r="3" customFormat="false" ht="15" hidden="false" customHeight="true" outlineLevel="0" collapsed="false">
      <c r="A3" s="4" t="s">
        <v>140</v>
      </c>
      <c r="B3" s="4" t="n">
        <v>12820101</v>
      </c>
      <c r="C3" s="4" t="s">
        <v>45</v>
      </c>
      <c r="D3" s="4" t="s">
        <v>101</v>
      </c>
      <c r="E3" s="4" t="n">
        <v>185</v>
      </c>
      <c r="F3" s="4" t="n">
        <v>16.29</v>
      </c>
      <c r="G3" s="4" t="n">
        <v>193</v>
      </c>
      <c r="H3" s="4" t="n">
        <v>16.54</v>
      </c>
      <c r="I3" s="4" t="n">
        <v>-0.25</v>
      </c>
    </row>
    <row r="4" customFormat="false" ht="15" hidden="false" customHeight="true" outlineLevel="0" collapsed="false">
      <c r="A4" s="4" t="s">
        <v>140</v>
      </c>
      <c r="B4" s="4" t="n">
        <v>12820101</v>
      </c>
      <c r="C4" s="4" t="s">
        <v>45</v>
      </c>
      <c r="D4" s="4" t="s">
        <v>100</v>
      </c>
      <c r="E4" s="4" t="n">
        <v>317</v>
      </c>
      <c r="F4" s="4" t="n">
        <v>27.9</v>
      </c>
      <c r="G4" s="4" t="n">
        <v>358</v>
      </c>
      <c r="H4" s="4" t="n">
        <v>30.68</v>
      </c>
      <c r="I4" s="4" t="n">
        <v>-2.77</v>
      </c>
    </row>
    <row r="5" customFormat="false" ht="15" hidden="false" customHeight="true" outlineLevel="0" collapsed="false">
      <c r="A5" s="4" t="s">
        <v>140</v>
      </c>
      <c r="B5" s="4" t="n">
        <v>12820101</v>
      </c>
      <c r="C5" s="4" t="s">
        <v>45</v>
      </c>
      <c r="D5" s="4" t="s">
        <v>103</v>
      </c>
      <c r="E5" s="4" t="n">
        <v>71</v>
      </c>
      <c r="F5" s="4" t="n">
        <v>6.25</v>
      </c>
      <c r="G5" s="4" t="n">
        <v>40</v>
      </c>
      <c r="H5" s="4" t="n">
        <v>3.43</v>
      </c>
      <c r="I5" s="4" t="n">
        <v>2.82</v>
      </c>
    </row>
    <row r="6" customFormat="false" ht="15" hidden="false" customHeight="true" outlineLevel="0" collapsed="false">
      <c r="A6" s="4" t="s">
        <v>140</v>
      </c>
      <c r="B6" s="4" t="n">
        <v>12820101</v>
      </c>
      <c r="C6" s="4" t="s">
        <v>45</v>
      </c>
      <c r="D6" s="4" t="s">
        <v>102</v>
      </c>
      <c r="E6" s="4" t="n">
        <v>120</v>
      </c>
      <c r="F6" s="4" t="n">
        <v>10.56</v>
      </c>
      <c r="G6" s="4" t="n">
        <v>107</v>
      </c>
      <c r="H6" s="4" t="n">
        <v>9.17</v>
      </c>
      <c r="I6" s="4" t="n">
        <v>1.39</v>
      </c>
    </row>
    <row r="7" customFormat="false" ht="15" hidden="false" customHeight="true" outlineLevel="0" collapsed="false">
      <c r="A7" s="4" t="s">
        <v>140</v>
      </c>
      <c r="B7" s="4" t="n">
        <v>12820101</v>
      </c>
      <c r="C7" s="4" t="s">
        <v>45</v>
      </c>
      <c r="D7" s="4" t="s">
        <v>105</v>
      </c>
      <c r="E7" s="4" t="n">
        <v>41</v>
      </c>
      <c r="F7" s="4" t="n">
        <v>3.61</v>
      </c>
      <c r="G7" s="4" t="n">
        <v>48</v>
      </c>
      <c r="H7" s="4" t="n">
        <v>4.11</v>
      </c>
      <c r="I7" s="4" t="n">
        <v>-0.5</v>
      </c>
    </row>
    <row r="8" customFormat="false" ht="15" hidden="false" customHeight="true" outlineLevel="0" collapsed="false">
      <c r="A8" s="4" t="s">
        <v>140</v>
      </c>
      <c r="B8" s="4" t="n">
        <v>12820101</v>
      </c>
      <c r="C8" s="4" t="s">
        <v>45</v>
      </c>
      <c r="D8" s="4" t="s">
        <v>104</v>
      </c>
      <c r="E8" s="4" t="n">
        <v>42</v>
      </c>
      <c r="F8" s="4" t="n">
        <v>3.7</v>
      </c>
      <c r="G8" s="4" t="n">
        <v>55</v>
      </c>
      <c r="H8" s="4" t="n">
        <v>4.71</v>
      </c>
      <c r="I8" s="4" t="n">
        <v>-1.02</v>
      </c>
    </row>
    <row r="9" customFormat="false" ht="15" hidden="false" customHeight="true" outlineLevel="0" collapsed="false">
      <c r="A9" s="4" t="s">
        <v>140</v>
      </c>
      <c r="B9" s="4" t="n">
        <v>12820101</v>
      </c>
      <c r="C9" s="4" t="s">
        <v>45</v>
      </c>
      <c r="D9" s="4" t="s">
        <v>106</v>
      </c>
      <c r="E9" s="4" t="n">
        <v>30</v>
      </c>
      <c r="F9" s="4" t="n">
        <v>2.64</v>
      </c>
      <c r="G9" s="4" t="n">
        <v>26</v>
      </c>
      <c r="H9" s="4" t="n">
        <v>2.23</v>
      </c>
      <c r="I9" s="4" t="n">
        <v>0.41</v>
      </c>
    </row>
    <row r="10" customFormat="false" ht="15" hidden="false" customHeight="true" outlineLevel="0" collapsed="false">
      <c r="A10" s="4" t="s">
        <v>140</v>
      </c>
      <c r="B10" s="4" t="n">
        <v>12820101</v>
      </c>
      <c r="C10" s="4" t="s">
        <v>45</v>
      </c>
      <c r="D10" s="4" t="s">
        <v>12</v>
      </c>
      <c r="E10" s="4" t="n">
        <v>13</v>
      </c>
      <c r="F10" s="4" t="n">
        <v>1.14</v>
      </c>
      <c r="G10" s="4" t="n">
        <v>20</v>
      </c>
      <c r="H10" s="4" t="n">
        <v>1.71</v>
      </c>
      <c r="I10" s="4" t="n">
        <v>-0.57</v>
      </c>
    </row>
    <row r="11" customFormat="false" ht="15" hidden="false" customHeight="true" outlineLevel="0" collapsed="false">
      <c r="A11" s="4" t="s">
        <v>140</v>
      </c>
      <c r="B11" s="4" t="n">
        <v>12820102</v>
      </c>
      <c r="C11" s="4" t="s">
        <v>47</v>
      </c>
      <c r="D11" s="4" t="s">
        <v>99</v>
      </c>
      <c r="E11" s="4" t="n">
        <v>332</v>
      </c>
      <c r="F11" s="4" t="n">
        <v>29.94</v>
      </c>
      <c r="G11" s="4" t="n">
        <v>343</v>
      </c>
      <c r="H11" s="4" t="n">
        <v>31.97</v>
      </c>
      <c r="I11" s="4" t="n">
        <v>-2.03</v>
      </c>
    </row>
    <row r="12" customFormat="false" ht="15" hidden="false" customHeight="true" outlineLevel="0" collapsed="false">
      <c r="A12" s="4" t="s">
        <v>140</v>
      </c>
      <c r="B12" s="4" t="n">
        <v>12820102</v>
      </c>
      <c r="C12" s="4" t="s">
        <v>47</v>
      </c>
      <c r="D12" s="4" t="s">
        <v>101</v>
      </c>
      <c r="E12" s="4" t="n">
        <v>131</v>
      </c>
      <c r="F12" s="4" t="n">
        <v>11.81</v>
      </c>
      <c r="G12" s="4" t="n">
        <v>150</v>
      </c>
      <c r="H12" s="4" t="n">
        <v>13.98</v>
      </c>
      <c r="I12" s="4" t="n">
        <v>-2.17</v>
      </c>
    </row>
    <row r="13" customFormat="false" ht="15" hidden="false" customHeight="true" outlineLevel="0" collapsed="false">
      <c r="A13" s="4" t="s">
        <v>140</v>
      </c>
      <c r="B13" s="4" t="n">
        <v>12820102</v>
      </c>
      <c r="C13" s="4" t="s">
        <v>47</v>
      </c>
      <c r="D13" s="4" t="s">
        <v>100</v>
      </c>
      <c r="E13" s="4" t="n">
        <v>282</v>
      </c>
      <c r="F13" s="4" t="n">
        <v>25.43</v>
      </c>
      <c r="G13" s="4" t="n">
        <v>284</v>
      </c>
      <c r="H13" s="4" t="n">
        <v>26.47</v>
      </c>
      <c r="I13" s="4" t="n">
        <v>-1.04</v>
      </c>
    </row>
    <row r="14" customFormat="false" ht="15" hidden="false" customHeight="true" outlineLevel="0" collapsed="false">
      <c r="A14" s="4" t="s">
        <v>140</v>
      </c>
      <c r="B14" s="4" t="n">
        <v>12820102</v>
      </c>
      <c r="C14" s="4" t="s">
        <v>47</v>
      </c>
      <c r="D14" s="4" t="s">
        <v>103</v>
      </c>
      <c r="E14" s="4" t="n">
        <v>131</v>
      </c>
      <c r="F14" s="4" t="n">
        <v>11.81</v>
      </c>
      <c r="G14" s="4" t="n">
        <v>84</v>
      </c>
      <c r="H14" s="4" t="n">
        <v>7.83</v>
      </c>
      <c r="I14" s="4" t="n">
        <v>3.98</v>
      </c>
    </row>
    <row r="15" customFormat="false" ht="15" hidden="false" customHeight="true" outlineLevel="0" collapsed="false">
      <c r="A15" s="4" t="s">
        <v>140</v>
      </c>
      <c r="B15" s="4" t="n">
        <v>12820102</v>
      </c>
      <c r="C15" s="4" t="s">
        <v>47</v>
      </c>
      <c r="D15" s="4" t="s">
        <v>102</v>
      </c>
      <c r="E15" s="4" t="n">
        <v>101</v>
      </c>
      <c r="F15" s="4" t="n">
        <v>9.11</v>
      </c>
      <c r="G15" s="4" t="n">
        <v>73</v>
      </c>
      <c r="H15" s="4" t="n">
        <v>6.8</v>
      </c>
      <c r="I15" s="4" t="n">
        <v>2.3</v>
      </c>
    </row>
    <row r="16" customFormat="false" ht="15" hidden="false" customHeight="true" outlineLevel="0" collapsed="false">
      <c r="A16" s="4" t="s">
        <v>140</v>
      </c>
      <c r="B16" s="4" t="n">
        <v>12820102</v>
      </c>
      <c r="C16" s="4" t="s">
        <v>47</v>
      </c>
      <c r="D16" s="4" t="s">
        <v>105</v>
      </c>
      <c r="E16" s="4" t="n">
        <v>37</v>
      </c>
      <c r="F16" s="4" t="n">
        <v>3.34</v>
      </c>
      <c r="G16" s="4" t="n">
        <v>36</v>
      </c>
      <c r="H16" s="4" t="n">
        <v>3.36</v>
      </c>
      <c r="I16" s="4" t="n">
        <v>-0.02</v>
      </c>
    </row>
    <row r="17" customFormat="false" ht="15" hidden="false" customHeight="true" outlineLevel="0" collapsed="false">
      <c r="A17" s="4" t="s">
        <v>140</v>
      </c>
      <c r="B17" s="4" t="n">
        <v>12820102</v>
      </c>
      <c r="C17" s="4" t="s">
        <v>47</v>
      </c>
      <c r="D17" s="4" t="s">
        <v>104</v>
      </c>
      <c r="E17" s="4" t="n">
        <v>34</v>
      </c>
      <c r="F17" s="4" t="n">
        <v>3.07</v>
      </c>
      <c r="G17" s="4" t="n">
        <v>39</v>
      </c>
      <c r="H17" s="4" t="n">
        <v>3.63</v>
      </c>
      <c r="I17" s="4" t="n">
        <v>-0.57</v>
      </c>
    </row>
    <row r="18" customFormat="false" ht="15" hidden="false" customHeight="true" outlineLevel="0" collapsed="false">
      <c r="A18" s="4" t="s">
        <v>140</v>
      </c>
      <c r="B18" s="4" t="n">
        <v>12820102</v>
      </c>
      <c r="C18" s="4" t="s">
        <v>47</v>
      </c>
      <c r="D18" s="4" t="s">
        <v>106</v>
      </c>
      <c r="E18" s="4" t="n">
        <v>50</v>
      </c>
      <c r="F18" s="4" t="n">
        <v>4.51</v>
      </c>
      <c r="G18" s="4" t="n">
        <v>34</v>
      </c>
      <c r="H18" s="4" t="n">
        <v>3.17</v>
      </c>
      <c r="I18" s="4" t="n">
        <v>1.34</v>
      </c>
    </row>
    <row r="19" customFormat="false" ht="15" hidden="false" customHeight="true" outlineLevel="0" collapsed="false">
      <c r="A19" s="4" t="s">
        <v>140</v>
      </c>
      <c r="B19" s="4" t="n">
        <v>12820102</v>
      </c>
      <c r="C19" s="4" t="s">
        <v>47</v>
      </c>
      <c r="D19" s="4" t="s">
        <v>12</v>
      </c>
      <c r="E19" s="4" t="n">
        <v>11</v>
      </c>
      <c r="F19" s="4" t="n">
        <v>0.99</v>
      </c>
      <c r="G19" s="4" t="n">
        <v>30</v>
      </c>
      <c r="H19" s="4" t="n">
        <v>2.8</v>
      </c>
      <c r="I19" s="4" t="n">
        <v>-1.8</v>
      </c>
    </row>
    <row r="20" customFormat="false" ht="15" hidden="false" customHeight="true" outlineLevel="0" collapsed="false">
      <c r="A20" s="4" t="s">
        <v>140</v>
      </c>
      <c r="B20" s="4" t="n">
        <v>12820103</v>
      </c>
      <c r="C20" s="4" t="s">
        <v>49</v>
      </c>
      <c r="D20" s="4" t="s">
        <v>99</v>
      </c>
      <c r="E20" s="4" t="n">
        <v>415</v>
      </c>
      <c r="F20" s="4" t="n">
        <v>37.83</v>
      </c>
      <c r="G20" s="4" t="n">
        <v>350</v>
      </c>
      <c r="H20" s="4" t="n">
        <v>34.25</v>
      </c>
      <c r="I20" s="4" t="n">
        <v>3.58</v>
      </c>
    </row>
    <row r="21" customFormat="false" ht="15" hidden="false" customHeight="true" outlineLevel="0" collapsed="false">
      <c r="A21" s="4" t="s">
        <v>140</v>
      </c>
      <c r="B21" s="4" t="n">
        <v>12820103</v>
      </c>
      <c r="C21" s="4" t="s">
        <v>49</v>
      </c>
      <c r="D21" s="4" t="s">
        <v>101</v>
      </c>
      <c r="E21" s="4" t="n">
        <v>110</v>
      </c>
      <c r="F21" s="4" t="n">
        <v>10.03</v>
      </c>
      <c r="G21" s="4" t="n">
        <v>120</v>
      </c>
      <c r="H21" s="4" t="n">
        <v>11.74</v>
      </c>
      <c r="I21" s="4" t="n">
        <v>-1.71</v>
      </c>
    </row>
    <row r="22" customFormat="false" ht="15" hidden="false" customHeight="true" outlineLevel="0" collapsed="false">
      <c r="A22" s="4" t="s">
        <v>140</v>
      </c>
      <c r="B22" s="4" t="n">
        <v>12820103</v>
      </c>
      <c r="C22" s="4" t="s">
        <v>49</v>
      </c>
      <c r="D22" s="4" t="s">
        <v>100</v>
      </c>
      <c r="E22" s="4" t="n">
        <v>227</v>
      </c>
      <c r="F22" s="4" t="n">
        <v>20.69</v>
      </c>
      <c r="G22" s="4" t="n">
        <v>270</v>
      </c>
      <c r="H22" s="4" t="n">
        <v>26.42</v>
      </c>
      <c r="I22" s="4" t="n">
        <v>-5.73</v>
      </c>
    </row>
    <row r="23" customFormat="false" ht="15" hidden="false" customHeight="true" outlineLevel="0" collapsed="false">
      <c r="A23" s="4" t="s">
        <v>140</v>
      </c>
      <c r="B23" s="4" t="n">
        <v>12820103</v>
      </c>
      <c r="C23" s="4" t="s">
        <v>49</v>
      </c>
      <c r="D23" s="4" t="s">
        <v>103</v>
      </c>
      <c r="E23" s="4" t="n">
        <v>171</v>
      </c>
      <c r="F23" s="4" t="n">
        <v>15.59</v>
      </c>
      <c r="G23" s="4" t="n">
        <v>99</v>
      </c>
      <c r="H23" s="4" t="n">
        <v>9.69</v>
      </c>
      <c r="I23" s="4" t="n">
        <v>5.9</v>
      </c>
    </row>
    <row r="24" customFormat="false" ht="15" hidden="false" customHeight="true" outlineLevel="0" collapsed="false">
      <c r="A24" s="4" t="s">
        <v>140</v>
      </c>
      <c r="B24" s="4" t="n">
        <v>12820103</v>
      </c>
      <c r="C24" s="4" t="s">
        <v>49</v>
      </c>
      <c r="D24" s="4" t="s">
        <v>102</v>
      </c>
      <c r="E24" s="4" t="n">
        <v>61</v>
      </c>
      <c r="F24" s="4" t="n">
        <v>5.56</v>
      </c>
      <c r="G24" s="4" t="n">
        <v>48</v>
      </c>
      <c r="H24" s="4" t="n">
        <v>4.7</v>
      </c>
      <c r="I24" s="4" t="n">
        <v>0.86</v>
      </c>
    </row>
    <row r="25" customFormat="false" ht="15" hidden="false" customHeight="true" outlineLevel="0" collapsed="false">
      <c r="A25" s="4" t="s">
        <v>140</v>
      </c>
      <c r="B25" s="4" t="n">
        <v>12820103</v>
      </c>
      <c r="C25" s="4" t="s">
        <v>49</v>
      </c>
      <c r="D25" s="4" t="s">
        <v>105</v>
      </c>
      <c r="E25" s="4" t="n">
        <v>22</v>
      </c>
      <c r="F25" s="4" t="n">
        <v>2.01</v>
      </c>
      <c r="G25" s="4" t="n">
        <v>30</v>
      </c>
      <c r="H25" s="4" t="n">
        <v>2.94</v>
      </c>
      <c r="I25" s="4" t="n">
        <v>-0.93</v>
      </c>
    </row>
    <row r="26" customFormat="false" ht="15" hidden="false" customHeight="true" outlineLevel="0" collapsed="false">
      <c r="A26" s="4" t="s">
        <v>140</v>
      </c>
      <c r="B26" s="4" t="n">
        <v>12820103</v>
      </c>
      <c r="C26" s="4" t="s">
        <v>49</v>
      </c>
      <c r="D26" s="4" t="s">
        <v>104</v>
      </c>
      <c r="E26" s="4" t="n">
        <v>21</v>
      </c>
      <c r="F26" s="4" t="n">
        <v>1.91</v>
      </c>
      <c r="G26" s="4" t="n">
        <v>28</v>
      </c>
      <c r="H26" s="4" t="n">
        <v>2.74</v>
      </c>
      <c r="I26" s="4" t="n">
        <v>-0.83</v>
      </c>
    </row>
    <row r="27" customFormat="false" ht="15" hidden="false" customHeight="true" outlineLevel="0" collapsed="false">
      <c r="A27" s="4" t="s">
        <v>140</v>
      </c>
      <c r="B27" s="4" t="n">
        <v>12820103</v>
      </c>
      <c r="C27" s="4" t="s">
        <v>49</v>
      </c>
      <c r="D27" s="4" t="s">
        <v>106</v>
      </c>
      <c r="E27" s="4" t="n">
        <v>52</v>
      </c>
      <c r="F27" s="4" t="n">
        <v>4.74</v>
      </c>
      <c r="G27" s="4" t="n">
        <v>37</v>
      </c>
      <c r="H27" s="4" t="n">
        <v>3.62</v>
      </c>
      <c r="I27" s="4" t="n">
        <v>1.12</v>
      </c>
    </row>
    <row r="28" customFormat="false" ht="15" hidden="false" customHeight="true" outlineLevel="0" collapsed="false">
      <c r="A28" s="4" t="s">
        <v>140</v>
      </c>
      <c r="B28" s="4" t="n">
        <v>12820103</v>
      </c>
      <c r="C28" s="4" t="s">
        <v>49</v>
      </c>
      <c r="D28" s="4" t="s">
        <v>12</v>
      </c>
      <c r="E28" s="4" t="n">
        <v>18</v>
      </c>
      <c r="F28" s="4" t="n">
        <v>1.64</v>
      </c>
      <c r="G28" s="4" t="n">
        <v>40</v>
      </c>
      <c r="H28" s="4" t="n">
        <v>3.91</v>
      </c>
      <c r="I28" s="4" t="n">
        <v>-2.27</v>
      </c>
    </row>
    <row r="29" customFormat="false" ht="15" hidden="false" customHeight="true" outlineLevel="0" collapsed="false">
      <c r="A29" s="4" t="s">
        <v>140</v>
      </c>
      <c r="B29" s="4" t="n">
        <v>12820104</v>
      </c>
      <c r="C29" s="4" t="s">
        <v>51</v>
      </c>
      <c r="D29" s="4" t="s">
        <v>99</v>
      </c>
      <c r="E29" s="4" t="n">
        <v>370</v>
      </c>
      <c r="F29" s="4" t="n">
        <v>32.51</v>
      </c>
      <c r="G29" s="4" t="n">
        <v>275</v>
      </c>
      <c r="H29" s="4" t="n">
        <v>31.43</v>
      </c>
      <c r="I29" s="4" t="n">
        <v>1.08</v>
      </c>
    </row>
    <row r="30" customFormat="false" ht="15" hidden="false" customHeight="true" outlineLevel="0" collapsed="false">
      <c r="A30" s="4" t="s">
        <v>140</v>
      </c>
      <c r="B30" s="4" t="n">
        <v>12820104</v>
      </c>
      <c r="C30" s="4" t="s">
        <v>51</v>
      </c>
      <c r="D30" s="4" t="s">
        <v>101</v>
      </c>
      <c r="E30" s="4" t="n">
        <v>159</v>
      </c>
      <c r="F30" s="4" t="n">
        <v>13.97</v>
      </c>
      <c r="G30" s="4" t="n">
        <v>117</v>
      </c>
      <c r="H30" s="4" t="n">
        <v>13.37</v>
      </c>
      <c r="I30" s="4" t="n">
        <v>0.6</v>
      </c>
    </row>
    <row r="31" customFormat="false" ht="15" hidden="false" customHeight="true" outlineLevel="0" collapsed="false">
      <c r="A31" s="4" t="s">
        <v>140</v>
      </c>
      <c r="B31" s="4" t="n">
        <v>12820104</v>
      </c>
      <c r="C31" s="4" t="s">
        <v>51</v>
      </c>
      <c r="D31" s="4" t="s">
        <v>100</v>
      </c>
      <c r="E31" s="4" t="n">
        <v>269</v>
      </c>
      <c r="F31" s="4" t="n">
        <v>23.64</v>
      </c>
      <c r="G31" s="4" t="n">
        <v>257</v>
      </c>
      <c r="H31" s="4" t="n">
        <v>29.37</v>
      </c>
      <c r="I31" s="4" t="n">
        <v>-5.73</v>
      </c>
    </row>
    <row r="32" customFormat="false" ht="15" hidden="false" customHeight="true" outlineLevel="0" collapsed="false">
      <c r="A32" s="4" t="s">
        <v>140</v>
      </c>
      <c r="B32" s="4" t="n">
        <v>12820104</v>
      </c>
      <c r="C32" s="4" t="s">
        <v>51</v>
      </c>
      <c r="D32" s="4" t="s">
        <v>103</v>
      </c>
      <c r="E32" s="4" t="n">
        <v>117</v>
      </c>
      <c r="F32" s="4" t="n">
        <v>10.28</v>
      </c>
      <c r="G32" s="4" t="n">
        <v>68</v>
      </c>
      <c r="H32" s="4" t="n">
        <v>7.77</v>
      </c>
      <c r="I32" s="4" t="n">
        <v>2.51</v>
      </c>
    </row>
    <row r="33" customFormat="false" ht="15" hidden="false" customHeight="true" outlineLevel="0" collapsed="false">
      <c r="A33" s="4" t="s">
        <v>140</v>
      </c>
      <c r="B33" s="4" t="n">
        <v>12820104</v>
      </c>
      <c r="C33" s="4" t="s">
        <v>51</v>
      </c>
      <c r="D33" s="4" t="s">
        <v>102</v>
      </c>
      <c r="E33" s="4" t="n">
        <v>83</v>
      </c>
      <c r="F33" s="4" t="n">
        <v>7.29</v>
      </c>
      <c r="G33" s="4" t="n">
        <v>36</v>
      </c>
      <c r="H33" s="4" t="n">
        <v>4.11</v>
      </c>
      <c r="I33" s="4" t="n">
        <v>3.18</v>
      </c>
    </row>
    <row r="34" customFormat="false" ht="15" hidden="false" customHeight="true" outlineLevel="0" collapsed="false">
      <c r="A34" s="4" t="s">
        <v>140</v>
      </c>
      <c r="B34" s="4" t="n">
        <v>12820104</v>
      </c>
      <c r="C34" s="4" t="s">
        <v>51</v>
      </c>
      <c r="D34" s="4" t="s">
        <v>105</v>
      </c>
      <c r="E34" s="4" t="n">
        <v>31</v>
      </c>
      <c r="F34" s="4" t="n">
        <v>2.72</v>
      </c>
      <c r="G34" s="4" t="n">
        <v>28</v>
      </c>
      <c r="H34" s="4" t="n">
        <v>3.2</v>
      </c>
      <c r="I34" s="4" t="n">
        <v>-0.48</v>
      </c>
    </row>
    <row r="35" customFormat="false" ht="15" hidden="false" customHeight="true" outlineLevel="0" collapsed="false">
      <c r="A35" s="4" t="s">
        <v>140</v>
      </c>
      <c r="B35" s="4" t="n">
        <v>12820104</v>
      </c>
      <c r="C35" s="4" t="s">
        <v>51</v>
      </c>
      <c r="D35" s="4" t="s">
        <v>104</v>
      </c>
      <c r="E35" s="4" t="n">
        <v>41</v>
      </c>
      <c r="F35" s="4" t="n">
        <v>3.6</v>
      </c>
      <c r="G35" s="4" t="n">
        <v>22</v>
      </c>
      <c r="H35" s="4" t="n">
        <v>2.51</v>
      </c>
      <c r="I35" s="4" t="n">
        <v>1.09</v>
      </c>
    </row>
    <row r="36" customFormat="false" ht="15" hidden="false" customHeight="true" outlineLevel="0" collapsed="false">
      <c r="A36" s="4" t="s">
        <v>140</v>
      </c>
      <c r="B36" s="4" t="n">
        <v>12820104</v>
      </c>
      <c r="C36" s="4" t="s">
        <v>51</v>
      </c>
      <c r="D36" s="4" t="s">
        <v>106</v>
      </c>
      <c r="E36" s="4" t="n">
        <v>46</v>
      </c>
      <c r="F36" s="4" t="n">
        <v>4.04</v>
      </c>
      <c r="G36" s="4" t="n">
        <v>33</v>
      </c>
      <c r="H36" s="4" t="n">
        <v>3.77</v>
      </c>
      <c r="I36" s="4" t="n">
        <v>0.27</v>
      </c>
    </row>
    <row r="37" customFormat="false" ht="15" hidden="false" customHeight="true" outlineLevel="0" collapsed="false">
      <c r="A37" s="4" t="s">
        <v>140</v>
      </c>
      <c r="B37" s="4" t="n">
        <v>12820104</v>
      </c>
      <c r="C37" s="4" t="s">
        <v>51</v>
      </c>
      <c r="D37" s="4" t="s">
        <v>12</v>
      </c>
      <c r="E37" s="4" t="n">
        <v>22</v>
      </c>
      <c r="F37" s="4" t="n">
        <v>1.93</v>
      </c>
      <c r="G37" s="4" t="n">
        <v>39</v>
      </c>
      <c r="H37" s="4" t="n">
        <v>4.46</v>
      </c>
      <c r="I37" s="4" t="n">
        <v>-2.52</v>
      </c>
    </row>
    <row r="38" customFormat="false" ht="15" hidden="false" customHeight="true" outlineLevel="0" collapsed="false">
      <c r="A38" s="4" t="s">
        <v>140</v>
      </c>
      <c r="B38" s="4" t="n">
        <v>12820105</v>
      </c>
      <c r="C38" s="4" t="s">
        <v>53</v>
      </c>
      <c r="D38" s="4" t="s">
        <v>99</v>
      </c>
      <c r="E38" s="4" t="n">
        <v>398</v>
      </c>
      <c r="F38" s="4" t="n">
        <v>43.45</v>
      </c>
      <c r="G38" s="4" t="n">
        <v>304</v>
      </c>
      <c r="H38" s="4" t="n">
        <v>38.87</v>
      </c>
      <c r="I38" s="4" t="n">
        <v>4.58</v>
      </c>
    </row>
    <row r="39" customFormat="false" ht="15" hidden="false" customHeight="true" outlineLevel="0" collapsed="false">
      <c r="A39" s="4" t="s">
        <v>140</v>
      </c>
      <c r="B39" s="4" t="n">
        <v>12820105</v>
      </c>
      <c r="C39" s="4" t="s">
        <v>53</v>
      </c>
      <c r="D39" s="4" t="s">
        <v>101</v>
      </c>
      <c r="E39" s="4" t="n">
        <v>68</v>
      </c>
      <c r="F39" s="4" t="n">
        <v>7.42</v>
      </c>
      <c r="G39" s="4" t="n">
        <v>74</v>
      </c>
      <c r="H39" s="4" t="n">
        <v>9.46</v>
      </c>
      <c r="I39" s="4" t="n">
        <v>-2.04</v>
      </c>
    </row>
    <row r="40" customFormat="false" ht="15" hidden="false" customHeight="true" outlineLevel="0" collapsed="false">
      <c r="A40" s="4" t="s">
        <v>140</v>
      </c>
      <c r="B40" s="4" t="n">
        <v>12820105</v>
      </c>
      <c r="C40" s="4" t="s">
        <v>53</v>
      </c>
      <c r="D40" s="4" t="s">
        <v>100</v>
      </c>
      <c r="E40" s="4" t="n">
        <v>150</v>
      </c>
      <c r="F40" s="4" t="n">
        <v>16.38</v>
      </c>
      <c r="G40" s="4" t="n">
        <v>197</v>
      </c>
      <c r="H40" s="4" t="n">
        <v>25.19</v>
      </c>
      <c r="I40" s="4" t="n">
        <v>-8.82</v>
      </c>
    </row>
    <row r="41" customFormat="false" ht="15" hidden="false" customHeight="true" outlineLevel="0" collapsed="false">
      <c r="A41" s="4" t="s">
        <v>140</v>
      </c>
      <c r="B41" s="4" t="n">
        <v>12820105</v>
      </c>
      <c r="C41" s="4" t="s">
        <v>53</v>
      </c>
      <c r="D41" s="4" t="s">
        <v>103</v>
      </c>
      <c r="E41" s="4" t="n">
        <v>203</v>
      </c>
      <c r="F41" s="4" t="n">
        <v>22.16</v>
      </c>
      <c r="G41" s="4" t="n">
        <v>73</v>
      </c>
      <c r="H41" s="4" t="n">
        <v>9.34</v>
      </c>
      <c r="I41" s="4" t="n">
        <v>12.83</v>
      </c>
    </row>
    <row r="42" customFormat="false" ht="15" hidden="false" customHeight="true" outlineLevel="0" collapsed="false">
      <c r="A42" s="4" t="s">
        <v>140</v>
      </c>
      <c r="B42" s="4" t="n">
        <v>12820105</v>
      </c>
      <c r="C42" s="4" t="s">
        <v>53</v>
      </c>
      <c r="D42" s="4" t="s">
        <v>102</v>
      </c>
      <c r="E42" s="4" t="n">
        <v>30</v>
      </c>
      <c r="F42" s="4" t="n">
        <v>3.28</v>
      </c>
      <c r="G42" s="4" t="n">
        <v>32</v>
      </c>
      <c r="H42" s="4" t="n">
        <v>4.09</v>
      </c>
      <c r="I42" s="4" t="n">
        <v>-0.82</v>
      </c>
    </row>
    <row r="43" customFormat="false" ht="15" hidden="false" customHeight="true" outlineLevel="0" collapsed="false">
      <c r="A43" s="4" t="s">
        <v>140</v>
      </c>
      <c r="B43" s="4" t="n">
        <v>12820105</v>
      </c>
      <c r="C43" s="4" t="s">
        <v>53</v>
      </c>
      <c r="D43" s="4" t="s">
        <v>105</v>
      </c>
      <c r="E43" s="4" t="n">
        <v>14</v>
      </c>
      <c r="F43" s="4" t="n">
        <v>1.53</v>
      </c>
      <c r="G43" s="4" t="n">
        <v>9</v>
      </c>
      <c r="H43" s="4" t="n">
        <v>1.15</v>
      </c>
      <c r="I43" s="4" t="n">
        <v>0.38</v>
      </c>
    </row>
    <row r="44" customFormat="false" ht="15" hidden="false" customHeight="true" outlineLevel="0" collapsed="false">
      <c r="A44" s="4" t="s">
        <v>140</v>
      </c>
      <c r="B44" s="4" t="n">
        <v>12820105</v>
      </c>
      <c r="C44" s="4" t="s">
        <v>53</v>
      </c>
      <c r="D44" s="4" t="s">
        <v>104</v>
      </c>
      <c r="E44" s="4" t="n">
        <v>14</v>
      </c>
      <c r="F44" s="4" t="n">
        <v>1.53</v>
      </c>
      <c r="G44" s="4" t="n">
        <v>10</v>
      </c>
      <c r="H44" s="4" t="n">
        <v>1.28</v>
      </c>
      <c r="I44" s="4" t="n">
        <v>0.25</v>
      </c>
    </row>
    <row r="45" customFormat="false" ht="15" hidden="false" customHeight="true" outlineLevel="0" collapsed="false">
      <c r="A45" s="4" t="s">
        <v>140</v>
      </c>
      <c r="B45" s="4" t="n">
        <v>12820105</v>
      </c>
      <c r="C45" s="4" t="s">
        <v>53</v>
      </c>
      <c r="D45" s="4" t="s">
        <v>106</v>
      </c>
      <c r="E45" s="4" t="n">
        <v>26</v>
      </c>
      <c r="F45" s="4" t="n">
        <v>2.84</v>
      </c>
      <c r="G45" s="4" t="n">
        <v>21</v>
      </c>
      <c r="H45" s="4" t="n">
        <v>2.69</v>
      </c>
      <c r="I45" s="4" t="n">
        <v>0.15</v>
      </c>
    </row>
    <row r="46" customFormat="false" ht="15" hidden="false" customHeight="true" outlineLevel="0" collapsed="false">
      <c r="A46" s="4" t="s">
        <v>140</v>
      </c>
      <c r="B46" s="4" t="n">
        <v>12820105</v>
      </c>
      <c r="C46" s="4" t="s">
        <v>53</v>
      </c>
      <c r="D46" s="4" t="s">
        <v>12</v>
      </c>
      <c r="E46" s="4" t="n">
        <v>13</v>
      </c>
      <c r="F46" s="4" t="n">
        <v>1.42</v>
      </c>
      <c r="G46" s="4" t="n">
        <v>62</v>
      </c>
      <c r="H46" s="4" t="n">
        <v>7.93</v>
      </c>
      <c r="I46" s="4" t="n">
        <v>-6.51</v>
      </c>
    </row>
    <row r="47" customFormat="false" ht="15" hidden="false" customHeight="true" outlineLevel="0" collapsed="false">
      <c r="A47" s="4" t="s">
        <v>140</v>
      </c>
      <c r="B47" s="4" t="n">
        <v>12820106</v>
      </c>
      <c r="C47" s="4" t="s">
        <v>55</v>
      </c>
      <c r="D47" s="4" t="s">
        <v>99</v>
      </c>
      <c r="E47" s="4" t="n">
        <v>408</v>
      </c>
      <c r="F47" s="4" t="n">
        <v>40.44</v>
      </c>
      <c r="G47" s="4" t="n">
        <v>374</v>
      </c>
      <c r="H47" s="4" t="n">
        <v>39.74</v>
      </c>
      <c r="I47" s="4" t="n">
        <v>0.69</v>
      </c>
    </row>
    <row r="48" customFormat="false" ht="15" hidden="false" customHeight="true" outlineLevel="0" collapsed="false">
      <c r="A48" s="4" t="s">
        <v>140</v>
      </c>
      <c r="B48" s="4" t="n">
        <v>12820106</v>
      </c>
      <c r="C48" s="4" t="s">
        <v>55</v>
      </c>
      <c r="D48" s="4" t="s">
        <v>101</v>
      </c>
      <c r="E48" s="4" t="n">
        <v>103</v>
      </c>
      <c r="F48" s="4" t="n">
        <v>10.21</v>
      </c>
      <c r="G48" s="4" t="n">
        <v>136</v>
      </c>
      <c r="H48" s="4" t="n">
        <v>14.45</v>
      </c>
      <c r="I48" s="4" t="n">
        <v>-4.24</v>
      </c>
    </row>
    <row r="49" customFormat="false" ht="15" hidden="false" customHeight="true" outlineLevel="0" collapsed="false">
      <c r="A49" s="4" t="s">
        <v>140</v>
      </c>
      <c r="B49" s="4" t="n">
        <v>12820106</v>
      </c>
      <c r="C49" s="4" t="s">
        <v>55</v>
      </c>
      <c r="D49" s="4" t="s">
        <v>100</v>
      </c>
      <c r="E49" s="4" t="n">
        <v>185</v>
      </c>
      <c r="F49" s="4" t="n">
        <v>18.33</v>
      </c>
      <c r="G49" s="4" t="n">
        <v>217</v>
      </c>
      <c r="H49" s="4" t="n">
        <v>23.06</v>
      </c>
      <c r="I49" s="4" t="n">
        <v>-4.73</v>
      </c>
    </row>
    <row r="50" customFormat="false" ht="15" hidden="false" customHeight="true" outlineLevel="0" collapsed="false">
      <c r="A50" s="4" t="s">
        <v>140</v>
      </c>
      <c r="B50" s="4" t="n">
        <v>12820106</v>
      </c>
      <c r="C50" s="4" t="s">
        <v>55</v>
      </c>
      <c r="D50" s="4" t="s">
        <v>103</v>
      </c>
      <c r="E50" s="4" t="n">
        <v>180</v>
      </c>
      <c r="F50" s="4" t="n">
        <v>17.84</v>
      </c>
      <c r="G50" s="4" t="n">
        <v>70</v>
      </c>
      <c r="H50" s="4" t="n">
        <v>7.44</v>
      </c>
      <c r="I50" s="4" t="n">
        <v>10.4</v>
      </c>
    </row>
    <row r="51" customFormat="false" ht="15" hidden="false" customHeight="true" outlineLevel="0" collapsed="false">
      <c r="A51" s="4" t="s">
        <v>140</v>
      </c>
      <c r="B51" s="4" t="n">
        <v>12820106</v>
      </c>
      <c r="C51" s="4" t="s">
        <v>55</v>
      </c>
      <c r="D51" s="4" t="s">
        <v>102</v>
      </c>
      <c r="E51" s="4" t="n">
        <v>41</v>
      </c>
      <c r="F51" s="4" t="n">
        <v>4.06</v>
      </c>
      <c r="G51" s="4" t="n">
        <v>29</v>
      </c>
      <c r="H51" s="4" t="n">
        <v>3.08</v>
      </c>
      <c r="I51" s="4" t="n">
        <v>0.98</v>
      </c>
    </row>
    <row r="52" customFormat="false" ht="15" hidden="false" customHeight="true" outlineLevel="0" collapsed="false">
      <c r="A52" s="4" t="s">
        <v>140</v>
      </c>
      <c r="B52" s="4" t="n">
        <v>12820106</v>
      </c>
      <c r="C52" s="4" t="s">
        <v>55</v>
      </c>
      <c r="D52" s="4" t="s">
        <v>105</v>
      </c>
      <c r="E52" s="4" t="n">
        <v>14</v>
      </c>
      <c r="F52" s="4" t="n">
        <v>1.39</v>
      </c>
      <c r="G52" s="4" t="n">
        <v>16</v>
      </c>
      <c r="H52" s="4" t="n">
        <v>1.7</v>
      </c>
      <c r="I52" s="4" t="n">
        <v>-0.31</v>
      </c>
    </row>
    <row r="53" customFormat="false" ht="15" hidden="false" customHeight="true" outlineLevel="0" collapsed="false">
      <c r="A53" s="4" t="s">
        <v>140</v>
      </c>
      <c r="B53" s="4" t="n">
        <v>12820106</v>
      </c>
      <c r="C53" s="4" t="s">
        <v>55</v>
      </c>
      <c r="D53" s="4" t="s">
        <v>104</v>
      </c>
      <c r="E53" s="4" t="n">
        <v>27</v>
      </c>
      <c r="F53" s="4" t="n">
        <v>2.68</v>
      </c>
      <c r="G53" s="4" t="n">
        <v>18</v>
      </c>
      <c r="H53" s="4" t="n">
        <v>1.91</v>
      </c>
      <c r="I53" s="4" t="n">
        <v>0.76</v>
      </c>
    </row>
    <row r="54" customFormat="false" ht="15" hidden="false" customHeight="true" outlineLevel="0" collapsed="false">
      <c r="A54" s="4" t="s">
        <v>140</v>
      </c>
      <c r="B54" s="4" t="n">
        <v>12820106</v>
      </c>
      <c r="C54" s="4" t="s">
        <v>55</v>
      </c>
      <c r="D54" s="4" t="s">
        <v>106</v>
      </c>
      <c r="E54" s="4" t="n">
        <v>32</v>
      </c>
      <c r="F54" s="4" t="n">
        <v>3.17</v>
      </c>
      <c r="G54" s="4" t="n">
        <v>26</v>
      </c>
      <c r="H54" s="4" t="n">
        <v>2.76</v>
      </c>
      <c r="I54" s="4" t="n">
        <v>0.41</v>
      </c>
    </row>
    <row r="55" customFormat="false" ht="15" hidden="false" customHeight="true" outlineLevel="0" collapsed="false">
      <c r="A55" s="4" t="s">
        <v>140</v>
      </c>
      <c r="B55" s="4" t="n">
        <v>12820106</v>
      </c>
      <c r="C55" s="4" t="s">
        <v>55</v>
      </c>
      <c r="D55" s="4" t="s">
        <v>12</v>
      </c>
      <c r="E55" s="4" t="n">
        <v>19</v>
      </c>
      <c r="F55" s="4" t="n">
        <v>1.88</v>
      </c>
      <c r="G55" s="4" t="n">
        <v>55</v>
      </c>
      <c r="H55" s="4" t="n">
        <v>5.84</v>
      </c>
      <c r="I55" s="4" t="n">
        <v>-3.96</v>
      </c>
    </row>
    <row r="56" customFormat="false" ht="15" hidden="false" customHeight="true" outlineLevel="0" collapsed="false">
      <c r="A56" s="4" t="s">
        <v>140</v>
      </c>
      <c r="B56" s="4" t="n">
        <v>12820107</v>
      </c>
      <c r="C56" s="4" t="s">
        <v>57</v>
      </c>
      <c r="D56" s="4" t="s">
        <v>99</v>
      </c>
      <c r="E56" s="4" t="n">
        <v>262</v>
      </c>
      <c r="F56" s="4" t="n">
        <v>31.04</v>
      </c>
      <c r="G56" s="4" t="n">
        <v>285</v>
      </c>
      <c r="H56" s="4" t="n">
        <v>34.59</v>
      </c>
      <c r="I56" s="4" t="n">
        <v>-3.54</v>
      </c>
    </row>
    <row r="57" customFormat="false" ht="15" hidden="false" customHeight="true" outlineLevel="0" collapsed="false">
      <c r="A57" s="4" t="s">
        <v>140</v>
      </c>
      <c r="B57" s="4" t="n">
        <v>12820107</v>
      </c>
      <c r="C57" s="4" t="s">
        <v>57</v>
      </c>
      <c r="D57" s="4" t="s">
        <v>101</v>
      </c>
      <c r="E57" s="4" t="n">
        <v>119</v>
      </c>
      <c r="F57" s="4" t="n">
        <v>14.1</v>
      </c>
      <c r="G57" s="4" t="n">
        <v>114</v>
      </c>
      <c r="H57" s="4" t="n">
        <v>13.83</v>
      </c>
      <c r="I57" s="4" t="n">
        <v>0.26</v>
      </c>
    </row>
    <row r="58" customFormat="false" ht="15" hidden="false" customHeight="true" outlineLevel="0" collapsed="false">
      <c r="A58" s="4" t="s">
        <v>140</v>
      </c>
      <c r="B58" s="4" t="n">
        <v>12820107</v>
      </c>
      <c r="C58" s="4" t="s">
        <v>57</v>
      </c>
      <c r="D58" s="4" t="s">
        <v>100</v>
      </c>
      <c r="E58" s="4" t="n">
        <v>171</v>
      </c>
      <c r="F58" s="4" t="n">
        <v>20.26</v>
      </c>
      <c r="G58" s="4" t="n">
        <v>212</v>
      </c>
      <c r="H58" s="4" t="n">
        <v>25.73</v>
      </c>
      <c r="I58" s="4" t="n">
        <v>-5.47</v>
      </c>
    </row>
    <row r="59" customFormat="false" ht="15" hidden="false" customHeight="true" outlineLevel="0" collapsed="false">
      <c r="A59" s="4" t="s">
        <v>140</v>
      </c>
      <c r="B59" s="4" t="n">
        <v>12820107</v>
      </c>
      <c r="C59" s="4" t="s">
        <v>57</v>
      </c>
      <c r="D59" s="4" t="s">
        <v>103</v>
      </c>
      <c r="E59" s="4" t="n">
        <v>67</v>
      </c>
      <c r="F59" s="4" t="n">
        <v>7.94</v>
      </c>
      <c r="G59" s="4" t="n">
        <v>39</v>
      </c>
      <c r="H59" s="4" t="n">
        <v>4.73</v>
      </c>
      <c r="I59" s="4" t="n">
        <v>3.21</v>
      </c>
    </row>
    <row r="60" customFormat="false" ht="15" hidden="false" customHeight="true" outlineLevel="0" collapsed="false">
      <c r="A60" s="4" t="s">
        <v>140</v>
      </c>
      <c r="B60" s="4" t="n">
        <v>12820107</v>
      </c>
      <c r="C60" s="4" t="s">
        <v>57</v>
      </c>
      <c r="D60" s="4" t="s">
        <v>102</v>
      </c>
      <c r="E60" s="4" t="n">
        <v>88</v>
      </c>
      <c r="F60" s="4" t="n">
        <v>10.43</v>
      </c>
      <c r="G60" s="4" t="n">
        <v>71</v>
      </c>
      <c r="H60" s="4" t="n">
        <v>8.62</v>
      </c>
      <c r="I60" s="4" t="n">
        <v>1.81</v>
      </c>
    </row>
    <row r="61" customFormat="false" ht="15" hidden="false" customHeight="true" outlineLevel="0" collapsed="false">
      <c r="A61" s="4" t="s">
        <v>140</v>
      </c>
      <c r="B61" s="4" t="n">
        <v>12820107</v>
      </c>
      <c r="C61" s="4" t="s">
        <v>57</v>
      </c>
      <c r="D61" s="4" t="s">
        <v>105</v>
      </c>
      <c r="E61" s="4" t="n">
        <v>48</v>
      </c>
      <c r="F61" s="4" t="n">
        <v>5.69</v>
      </c>
      <c r="G61" s="4" t="n">
        <v>39</v>
      </c>
      <c r="H61" s="4" t="n">
        <v>4.73</v>
      </c>
      <c r="I61" s="4" t="n">
        <v>0.95</v>
      </c>
    </row>
    <row r="62" customFormat="false" ht="15" hidden="false" customHeight="true" outlineLevel="0" collapsed="false">
      <c r="A62" s="4" t="s">
        <v>140</v>
      </c>
      <c r="B62" s="4" t="n">
        <v>12820107</v>
      </c>
      <c r="C62" s="4" t="s">
        <v>57</v>
      </c>
      <c r="D62" s="4" t="s">
        <v>104</v>
      </c>
      <c r="E62" s="4" t="n">
        <v>27</v>
      </c>
      <c r="F62" s="4" t="n">
        <v>3.2</v>
      </c>
      <c r="G62" s="4" t="n">
        <v>18</v>
      </c>
      <c r="H62" s="4" t="n">
        <v>2.18</v>
      </c>
      <c r="I62" s="4" t="n">
        <v>1.01</v>
      </c>
    </row>
    <row r="63" customFormat="false" ht="15" hidden="false" customHeight="true" outlineLevel="0" collapsed="false">
      <c r="A63" s="4" t="s">
        <v>140</v>
      </c>
      <c r="B63" s="4" t="n">
        <v>12820107</v>
      </c>
      <c r="C63" s="4" t="s">
        <v>57</v>
      </c>
      <c r="D63" s="4" t="s">
        <v>106</v>
      </c>
      <c r="E63" s="4" t="n">
        <v>49</v>
      </c>
      <c r="F63" s="4" t="n">
        <v>5.81</v>
      </c>
      <c r="G63" s="4" t="n">
        <v>33</v>
      </c>
      <c r="H63" s="4" t="n">
        <v>4</v>
      </c>
      <c r="I63" s="4" t="n">
        <v>1.8</v>
      </c>
    </row>
    <row r="64" customFormat="false" ht="15" hidden="false" customHeight="true" outlineLevel="0" collapsed="false">
      <c r="A64" s="4" t="s">
        <v>140</v>
      </c>
      <c r="B64" s="4" t="n">
        <v>12820107</v>
      </c>
      <c r="C64" s="4" t="s">
        <v>57</v>
      </c>
      <c r="D64" s="4" t="s">
        <v>12</v>
      </c>
      <c r="E64" s="4" t="n">
        <v>13</v>
      </c>
      <c r="F64" s="4" t="n">
        <v>1.54</v>
      </c>
      <c r="G64" s="4" t="n">
        <v>13</v>
      </c>
      <c r="H64" s="4" t="n">
        <v>1.58</v>
      </c>
      <c r="I64" s="4" t="n">
        <v>-0.04</v>
      </c>
    </row>
    <row r="65" customFormat="false" ht="15" hidden="false" customHeight="true" outlineLevel="0" collapsed="false">
      <c r="A65" s="4" t="s">
        <v>140</v>
      </c>
      <c r="B65" s="4" t="n">
        <v>12820108</v>
      </c>
      <c r="C65" s="4" t="s">
        <v>59</v>
      </c>
      <c r="D65" s="4" t="s">
        <v>99</v>
      </c>
      <c r="E65" s="4" t="n">
        <v>410</v>
      </c>
      <c r="F65" s="4" t="n">
        <v>37.55</v>
      </c>
      <c r="G65" s="4" t="n">
        <v>384</v>
      </c>
      <c r="H65" s="4" t="n">
        <v>37.98</v>
      </c>
      <c r="I65" s="4" t="n">
        <v>-0.44</v>
      </c>
    </row>
    <row r="66" customFormat="false" ht="15" hidden="false" customHeight="true" outlineLevel="0" collapsed="false">
      <c r="A66" s="4" t="s">
        <v>140</v>
      </c>
      <c r="B66" s="4" t="n">
        <v>12820108</v>
      </c>
      <c r="C66" s="4" t="s">
        <v>59</v>
      </c>
      <c r="D66" s="4" t="s">
        <v>101</v>
      </c>
      <c r="E66" s="4" t="n">
        <v>103</v>
      </c>
      <c r="F66" s="4" t="n">
        <v>9.43</v>
      </c>
      <c r="G66" s="4" t="n">
        <v>99</v>
      </c>
      <c r="H66" s="4" t="n">
        <v>9.79</v>
      </c>
      <c r="I66" s="4" t="n">
        <v>-0.36</v>
      </c>
    </row>
    <row r="67" customFormat="false" ht="15" hidden="false" customHeight="true" outlineLevel="0" collapsed="false">
      <c r="A67" s="4" t="s">
        <v>140</v>
      </c>
      <c r="B67" s="4" t="n">
        <v>12820108</v>
      </c>
      <c r="C67" s="4" t="s">
        <v>59</v>
      </c>
      <c r="D67" s="4" t="s">
        <v>100</v>
      </c>
      <c r="E67" s="4" t="n">
        <v>265</v>
      </c>
      <c r="F67" s="4" t="n">
        <v>24.27</v>
      </c>
      <c r="G67" s="4" t="n">
        <v>294</v>
      </c>
      <c r="H67" s="4" t="n">
        <v>29.08</v>
      </c>
      <c r="I67" s="4" t="n">
        <v>-4.81</v>
      </c>
    </row>
    <row r="68" customFormat="false" ht="15" hidden="false" customHeight="true" outlineLevel="0" collapsed="false">
      <c r="A68" s="4" t="s">
        <v>140</v>
      </c>
      <c r="B68" s="4" t="n">
        <v>12820108</v>
      </c>
      <c r="C68" s="4" t="s">
        <v>59</v>
      </c>
      <c r="D68" s="4" t="s">
        <v>103</v>
      </c>
      <c r="E68" s="4" t="n">
        <v>120</v>
      </c>
      <c r="F68" s="4" t="n">
        <v>10.99</v>
      </c>
      <c r="G68" s="4" t="n">
        <v>68</v>
      </c>
      <c r="H68" s="4" t="n">
        <v>6.73</v>
      </c>
      <c r="I68" s="4" t="n">
        <v>4.26</v>
      </c>
    </row>
    <row r="69" customFormat="false" ht="15" hidden="false" customHeight="true" outlineLevel="0" collapsed="false">
      <c r="A69" s="4" t="s">
        <v>140</v>
      </c>
      <c r="B69" s="4" t="n">
        <v>12820108</v>
      </c>
      <c r="C69" s="4" t="s">
        <v>59</v>
      </c>
      <c r="D69" s="4" t="s">
        <v>102</v>
      </c>
      <c r="E69" s="4" t="n">
        <v>65</v>
      </c>
      <c r="F69" s="4" t="n">
        <v>5.95</v>
      </c>
      <c r="G69" s="4" t="n">
        <v>41</v>
      </c>
      <c r="H69" s="4" t="n">
        <v>4.06</v>
      </c>
      <c r="I69" s="4" t="n">
        <v>1.9</v>
      </c>
    </row>
    <row r="70" customFormat="false" ht="15" hidden="false" customHeight="true" outlineLevel="0" collapsed="false">
      <c r="A70" s="4" t="s">
        <v>140</v>
      </c>
      <c r="B70" s="4" t="n">
        <v>12820108</v>
      </c>
      <c r="C70" s="4" t="s">
        <v>59</v>
      </c>
      <c r="D70" s="4" t="s">
        <v>105</v>
      </c>
      <c r="E70" s="4" t="n">
        <v>30</v>
      </c>
      <c r="F70" s="4" t="n">
        <v>2.75</v>
      </c>
      <c r="G70" s="4" t="n">
        <v>25</v>
      </c>
      <c r="H70" s="4" t="n">
        <v>2.47</v>
      </c>
      <c r="I70" s="4" t="n">
        <v>0.27</v>
      </c>
    </row>
    <row r="71" customFormat="false" ht="15" hidden="false" customHeight="true" outlineLevel="0" collapsed="false">
      <c r="A71" s="4" t="s">
        <v>140</v>
      </c>
      <c r="B71" s="4" t="n">
        <v>12820108</v>
      </c>
      <c r="C71" s="4" t="s">
        <v>59</v>
      </c>
      <c r="D71" s="4" t="s">
        <v>104</v>
      </c>
      <c r="E71" s="4" t="n">
        <v>39</v>
      </c>
      <c r="F71" s="4" t="n">
        <v>3.57</v>
      </c>
      <c r="G71" s="4" t="n">
        <v>28</v>
      </c>
      <c r="H71" s="4" t="n">
        <v>2.77</v>
      </c>
      <c r="I71" s="4" t="n">
        <v>0.8</v>
      </c>
    </row>
    <row r="72" customFormat="false" ht="15" hidden="false" customHeight="true" outlineLevel="0" collapsed="false">
      <c r="A72" s="4" t="s">
        <v>140</v>
      </c>
      <c r="B72" s="4" t="n">
        <v>12820108</v>
      </c>
      <c r="C72" s="4" t="s">
        <v>59</v>
      </c>
      <c r="D72" s="4" t="s">
        <v>106</v>
      </c>
      <c r="E72" s="4" t="n">
        <v>41</v>
      </c>
      <c r="F72" s="4" t="n">
        <v>3.75</v>
      </c>
      <c r="G72" s="4" t="n">
        <v>32</v>
      </c>
      <c r="H72" s="4" t="n">
        <v>3.17</v>
      </c>
      <c r="I72" s="4" t="n">
        <v>0.59</v>
      </c>
    </row>
    <row r="73" customFormat="false" ht="15" hidden="false" customHeight="true" outlineLevel="0" collapsed="false">
      <c r="A73" s="4" t="s">
        <v>140</v>
      </c>
      <c r="B73" s="4" t="n">
        <v>12820108</v>
      </c>
      <c r="C73" s="4" t="s">
        <v>59</v>
      </c>
      <c r="D73" s="4" t="s">
        <v>12</v>
      </c>
      <c r="E73" s="4" t="n">
        <v>19</v>
      </c>
      <c r="F73" s="4" t="n">
        <v>1.74</v>
      </c>
      <c r="G73" s="4" t="n">
        <v>40</v>
      </c>
      <c r="H73" s="4" t="n">
        <v>3.96</v>
      </c>
      <c r="I73" s="4" t="n">
        <v>-2.22</v>
      </c>
    </row>
    <row r="74" customFormat="false" ht="15" hidden="false" customHeight="true" outlineLevel="0" collapsed="false">
      <c r="A74" s="4" t="s">
        <v>140</v>
      </c>
      <c r="B74" s="4" t="n">
        <v>12820109</v>
      </c>
      <c r="C74" s="4" t="s">
        <v>61</v>
      </c>
      <c r="D74" s="4" t="s">
        <v>99</v>
      </c>
      <c r="E74" s="4" t="n">
        <v>346</v>
      </c>
      <c r="F74" s="4" t="n">
        <v>31.63</v>
      </c>
      <c r="G74" s="4" t="n">
        <v>370</v>
      </c>
      <c r="H74" s="4" t="n">
        <v>34.13</v>
      </c>
      <c r="I74" s="4" t="n">
        <v>-2.51</v>
      </c>
    </row>
    <row r="75" customFormat="false" ht="15" hidden="false" customHeight="true" outlineLevel="0" collapsed="false">
      <c r="A75" s="4" t="s">
        <v>140</v>
      </c>
      <c r="B75" s="4" t="n">
        <v>12820109</v>
      </c>
      <c r="C75" s="4" t="s">
        <v>61</v>
      </c>
      <c r="D75" s="4" t="s">
        <v>101</v>
      </c>
      <c r="E75" s="4" t="n">
        <v>149</v>
      </c>
      <c r="F75" s="4" t="n">
        <v>13.62</v>
      </c>
      <c r="G75" s="4" t="n">
        <v>134</v>
      </c>
      <c r="H75" s="4" t="n">
        <v>12.36</v>
      </c>
      <c r="I75" s="4" t="n">
        <v>1.26</v>
      </c>
    </row>
    <row r="76" customFormat="false" ht="15" hidden="false" customHeight="true" outlineLevel="0" collapsed="false">
      <c r="A76" s="4" t="s">
        <v>140</v>
      </c>
      <c r="B76" s="4" t="n">
        <v>12820109</v>
      </c>
      <c r="C76" s="4" t="s">
        <v>61</v>
      </c>
      <c r="D76" s="4" t="s">
        <v>100</v>
      </c>
      <c r="E76" s="4" t="n">
        <v>314</v>
      </c>
      <c r="F76" s="4" t="n">
        <v>28.7</v>
      </c>
      <c r="G76" s="4" t="n">
        <v>332</v>
      </c>
      <c r="H76" s="4" t="n">
        <v>30.63</v>
      </c>
      <c r="I76" s="4" t="n">
        <v>-1.93</v>
      </c>
    </row>
    <row r="77" customFormat="false" ht="15" hidden="false" customHeight="true" outlineLevel="0" collapsed="false">
      <c r="A77" s="4" t="s">
        <v>140</v>
      </c>
      <c r="B77" s="4" t="n">
        <v>12820109</v>
      </c>
      <c r="C77" s="4" t="s">
        <v>61</v>
      </c>
      <c r="D77" s="4" t="s">
        <v>103</v>
      </c>
      <c r="E77" s="4" t="n">
        <v>82</v>
      </c>
      <c r="F77" s="4" t="n">
        <v>7.5</v>
      </c>
      <c r="G77" s="4" t="n">
        <v>54</v>
      </c>
      <c r="H77" s="4" t="n">
        <v>4.98</v>
      </c>
      <c r="I77" s="4" t="n">
        <v>2.51</v>
      </c>
    </row>
    <row r="78" customFormat="false" ht="15" hidden="false" customHeight="true" outlineLevel="0" collapsed="false">
      <c r="A78" s="4" t="s">
        <v>140</v>
      </c>
      <c r="B78" s="4" t="n">
        <v>12820109</v>
      </c>
      <c r="C78" s="4" t="s">
        <v>61</v>
      </c>
      <c r="D78" s="4" t="s">
        <v>102</v>
      </c>
      <c r="E78" s="4" t="n">
        <v>71</v>
      </c>
      <c r="F78" s="4" t="n">
        <v>6.49</v>
      </c>
      <c r="G78" s="4" t="n">
        <v>57</v>
      </c>
      <c r="H78" s="4" t="n">
        <v>5.26</v>
      </c>
      <c r="I78" s="4" t="n">
        <v>1.23</v>
      </c>
    </row>
    <row r="79" customFormat="false" ht="15" hidden="false" customHeight="true" outlineLevel="0" collapsed="false">
      <c r="A79" s="4" t="s">
        <v>140</v>
      </c>
      <c r="B79" s="4" t="n">
        <v>12820109</v>
      </c>
      <c r="C79" s="4" t="s">
        <v>61</v>
      </c>
      <c r="D79" s="4" t="s">
        <v>105</v>
      </c>
      <c r="E79" s="4" t="n">
        <v>28</v>
      </c>
      <c r="F79" s="4" t="n">
        <v>2.56</v>
      </c>
      <c r="G79" s="4" t="n">
        <v>40</v>
      </c>
      <c r="H79" s="4" t="n">
        <v>3.69</v>
      </c>
      <c r="I79" s="4" t="n">
        <v>-1.13</v>
      </c>
    </row>
    <row r="80" customFormat="false" ht="15" hidden="false" customHeight="true" outlineLevel="0" collapsed="false">
      <c r="A80" s="4" t="s">
        <v>140</v>
      </c>
      <c r="B80" s="4" t="n">
        <v>12820109</v>
      </c>
      <c r="C80" s="4" t="s">
        <v>61</v>
      </c>
      <c r="D80" s="4" t="s">
        <v>104</v>
      </c>
      <c r="E80" s="4" t="n">
        <v>48</v>
      </c>
      <c r="F80" s="4" t="n">
        <v>4.39</v>
      </c>
      <c r="G80" s="4" t="n">
        <v>39</v>
      </c>
      <c r="H80" s="4" t="n">
        <v>3.6</v>
      </c>
      <c r="I80" s="4" t="n">
        <v>0.79</v>
      </c>
    </row>
    <row r="81" customFormat="false" ht="15" hidden="false" customHeight="true" outlineLevel="0" collapsed="false">
      <c r="A81" s="4" t="s">
        <v>140</v>
      </c>
      <c r="B81" s="4" t="n">
        <v>12820109</v>
      </c>
      <c r="C81" s="4" t="s">
        <v>61</v>
      </c>
      <c r="D81" s="4" t="s">
        <v>106</v>
      </c>
      <c r="E81" s="4" t="n">
        <v>46</v>
      </c>
      <c r="F81" s="4" t="n">
        <v>4.2</v>
      </c>
      <c r="G81" s="4" t="n">
        <v>38</v>
      </c>
      <c r="H81" s="4" t="n">
        <v>3.51</v>
      </c>
      <c r="I81" s="4" t="n">
        <v>0.7</v>
      </c>
    </row>
    <row r="82" customFormat="false" ht="15" hidden="false" customHeight="true" outlineLevel="0" collapsed="false">
      <c r="A82" s="4" t="s">
        <v>140</v>
      </c>
      <c r="B82" s="4" t="n">
        <v>12820109</v>
      </c>
      <c r="C82" s="4" t="s">
        <v>61</v>
      </c>
      <c r="D82" s="4" t="s">
        <v>12</v>
      </c>
      <c r="E82" s="4" t="n">
        <v>10</v>
      </c>
      <c r="F82" s="4" t="n">
        <v>0.91</v>
      </c>
      <c r="G82" s="4" t="n">
        <v>20</v>
      </c>
      <c r="H82" s="4" t="n">
        <v>1.85</v>
      </c>
      <c r="I82" s="4" t="n">
        <v>-0.93</v>
      </c>
    </row>
    <row r="83" customFormat="false" ht="15" hidden="false" customHeight="true" outlineLevel="0" collapsed="false">
      <c r="A83" s="4" t="s">
        <v>140</v>
      </c>
      <c r="B83" s="4" t="n">
        <v>12820110</v>
      </c>
      <c r="C83" s="4" t="s">
        <v>63</v>
      </c>
      <c r="D83" s="4" t="s">
        <v>99</v>
      </c>
      <c r="E83" s="4" t="n">
        <v>267</v>
      </c>
      <c r="F83" s="4" t="n">
        <v>34.81</v>
      </c>
      <c r="G83" s="4" t="n">
        <v>307</v>
      </c>
      <c r="H83" s="4" t="n">
        <v>39.46</v>
      </c>
      <c r="I83" s="4" t="n">
        <v>-4.65</v>
      </c>
    </row>
    <row r="84" customFormat="false" ht="15" hidden="false" customHeight="true" outlineLevel="0" collapsed="false">
      <c r="A84" s="4" t="s">
        <v>140</v>
      </c>
      <c r="B84" s="4" t="n">
        <v>12820110</v>
      </c>
      <c r="C84" s="4" t="s">
        <v>63</v>
      </c>
      <c r="D84" s="4" t="s">
        <v>101</v>
      </c>
      <c r="E84" s="4" t="n">
        <v>82</v>
      </c>
      <c r="F84" s="4" t="n">
        <v>10.69</v>
      </c>
      <c r="G84" s="4" t="n">
        <v>75</v>
      </c>
      <c r="H84" s="4" t="n">
        <v>9.64</v>
      </c>
      <c r="I84" s="4" t="n">
        <v>1.05</v>
      </c>
    </row>
    <row r="85" customFormat="false" ht="15" hidden="false" customHeight="true" outlineLevel="0" collapsed="false">
      <c r="A85" s="4" t="s">
        <v>140</v>
      </c>
      <c r="B85" s="4" t="n">
        <v>12820110</v>
      </c>
      <c r="C85" s="4" t="s">
        <v>63</v>
      </c>
      <c r="D85" s="4" t="s">
        <v>100</v>
      </c>
      <c r="E85" s="4" t="n">
        <v>265</v>
      </c>
      <c r="F85" s="4" t="n">
        <v>34.55</v>
      </c>
      <c r="G85" s="4" t="n">
        <v>284</v>
      </c>
      <c r="H85" s="4" t="n">
        <v>36.5</v>
      </c>
      <c r="I85" s="4" t="n">
        <v>-1.95</v>
      </c>
    </row>
    <row r="86" customFormat="false" ht="15" hidden="false" customHeight="true" outlineLevel="0" collapsed="false">
      <c r="A86" s="4" t="s">
        <v>140</v>
      </c>
      <c r="B86" s="4" t="n">
        <v>12820110</v>
      </c>
      <c r="C86" s="4" t="s">
        <v>63</v>
      </c>
      <c r="D86" s="4" t="s">
        <v>103</v>
      </c>
      <c r="E86" s="4" t="n">
        <v>69</v>
      </c>
      <c r="F86" s="4" t="n">
        <v>9</v>
      </c>
      <c r="G86" s="4" t="n">
        <v>36</v>
      </c>
      <c r="H86" s="4" t="n">
        <v>4.63</v>
      </c>
      <c r="I86" s="4" t="n">
        <v>4.37</v>
      </c>
    </row>
    <row r="87" customFormat="false" ht="15" hidden="false" customHeight="true" outlineLevel="0" collapsed="false">
      <c r="A87" s="4" t="s">
        <v>140</v>
      </c>
      <c r="B87" s="4" t="n">
        <v>12820110</v>
      </c>
      <c r="C87" s="4" t="s">
        <v>63</v>
      </c>
      <c r="D87" s="4" t="s">
        <v>102</v>
      </c>
      <c r="E87" s="4" t="n">
        <v>29</v>
      </c>
      <c r="F87" s="4" t="n">
        <v>3.78</v>
      </c>
      <c r="G87" s="4" t="n">
        <v>23</v>
      </c>
      <c r="H87" s="4" t="n">
        <v>2.96</v>
      </c>
      <c r="I87" s="4" t="n">
        <v>0.82</v>
      </c>
    </row>
    <row r="88" customFormat="false" ht="15" hidden="false" customHeight="true" outlineLevel="0" collapsed="false">
      <c r="A88" s="4" t="s">
        <v>140</v>
      </c>
      <c r="B88" s="4" t="n">
        <v>12820110</v>
      </c>
      <c r="C88" s="4" t="s">
        <v>63</v>
      </c>
      <c r="D88" s="4" t="s">
        <v>105</v>
      </c>
      <c r="E88" s="4" t="n">
        <v>5</v>
      </c>
      <c r="F88" s="4" t="n">
        <v>0.65</v>
      </c>
      <c r="G88" s="4" t="n">
        <v>7</v>
      </c>
      <c r="H88" s="4" t="n">
        <v>0.9</v>
      </c>
      <c r="I88" s="4" t="n">
        <v>-0.25</v>
      </c>
    </row>
    <row r="89" customFormat="false" ht="15" hidden="false" customHeight="true" outlineLevel="0" collapsed="false">
      <c r="A89" s="4" t="s">
        <v>140</v>
      </c>
      <c r="B89" s="4" t="n">
        <v>12820110</v>
      </c>
      <c r="C89" s="4" t="s">
        <v>63</v>
      </c>
      <c r="D89" s="4" t="s">
        <v>104</v>
      </c>
      <c r="E89" s="4" t="n">
        <v>25</v>
      </c>
      <c r="F89" s="4" t="n">
        <v>3.26</v>
      </c>
      <c r="G89" s="4" t="n">
        <v>14</v>
      </c>
      <c r="H89" s="4" t="n">
        <v>1.8</v>
      </c>
      <c r="I89" s="4" t="n">
        <v>1.46</v>
      </c>
    </row>
    <row r="90" customFormat="false" ht="15" hidden="false" customHeight="true" outlineLevel="0" collapsed="false">
      <c r="A90" s="4" t="s">
        <v>140</v>
      </c>
      <c r="B90" s="4" t="n">
        <v>12820110</v>
      </c>
      <c r="C90" s="4" t="s">
        <v>63</v>
      </c>
      <c r="D90" s="4" t="s">
        <v>106</v>
      </c>
      <c r="E90" s="4" t="n">
        <v>16</v>
      </c>
      <c r="F90" s="4" t="n">
        <v>2.09</v>
      </c>
      <c r="G90" s="4" t="n">
        <v>13</v>
      </c>
      <c r="H90" s="4" t="n">
        <v>1.67</v>
      </c>
      <c r="I90" s="4" t="n">
        <v>0.42</v>
      </c>
    </row>
    <row r="91" customFormat="false" ht="15" hidden="false" customHeight="true" outlineLevel="0" collapsed="false">
      <c r="A91" s="4" t="s">
        <v>140</v>
      </c>
      <c r="B91" s="4" t="n">
        <v>12820110</v>
      </c>
      <c r="C91" s="4" t="s">
        <v>63</v>
      </c>
      <c r="D91" s="4" t="s">
        <v>12</v>
      </c>
      <c r="E91" s="4" t="n">
        <v>9</v>
      </c>
      <c r="F91" s="4" t="n">
        <v>1.17</v>
      </c>
      <c r="G91" s="4" t="n">
        <v>19</v>
      </c>
      <c r="H91" s="4" t="n">
        <v>2.44</v>
      </c>
      <c r="I91" s="4" t="n">
        <v>-1.27</v>
      </c>
    </row>
    <row r="92" customFormat="false" ht="15" hidden="false" customHeight="true" outlineLevel="0" collapsed="false">
      <c r="A92" s="4" t="s">
        <v>140</v>
      </c>
      <c r="B92" s="4" t="n">
        <v>12820111</v>
      </c>
      <c r="C92" s="4" t="s">
        <v>65</v>
      </c>
      <c r="D92" s="4" t="s">
        <v>99</v>
      </c>
      <c r="E92" s="4" t="n">
        <v>402</v>
      </c>
      <c r="F92" s="4" t="n">
        <v>45.22</v>
      </c>
      <c r="G92" s="4" t="n">
        <v>393</v>
      </c>
      <c r="H92" s="4" t="n">
        <v>44.16</v>
      </c>
      <c r="I92" s="4" t="n">
        <v>1.06</v>
      </c>
    </row>
    <row r="93" customFormat="false" ht="15" hidden="false" customHeight="true" outlineLevel="0" collapsed="false">
      <c r="A93" s="4" t="s">
        <v>140</v>
      </c>
      <c r="B93" s="4" t="n">
        <v>12820111</v>
      </c>
      <c r="C93" s="4" t="s">
        <v>65</v>
      </c>
      <c r="D93" s="4" t="s">
        <v>101</v>
      </c>
      <c r="E93" s="4" t="n">
        <v>123</v>
      </c>
      <c r="F93" s="4" t="n">
        <v>13.84</v>
      </c>
      <c r="G93" s="4" t="n">
        <v>101</v>
      </c>
      <c r="H93" s="4" t="n">
        <v>11.35</v>
      </c>
      <c r="I93" s="4" t="n">
        <v>2.49</v>
      </c>
    </row>
    <row r="94" customFormat="false" ht="15" hidden="false" customHeight="true" outlineLevel="0" collapsed="false">
      <c r="A94" s="4" t="s">
        <v>140</v>
      </c>
      <c r="B94" s="4" t="n">
        <v>12820111</v>
      </c>
      <c r="C94" s="4" t="s">
        <v>65</v>
      </c>
      <c r="D94" s="4" t="s">
        <v>100</v>
      </c>
      <c r="E94" s="4" t="n">
        <v>149</v>
      </c>
      <c r="F94" s="4" t="n">
        <v>16.76</v>
      </c>
      <c r="G94" s="4" t="n">
        <v>199</v>
      </c>
      <c r="H94" s="4" t="n">
        <v>22.36</v>
      </c>
      <c r="I94" s="4" t="n">
        <v>-5.6</v>
      </c>
    </row>
    <row r="95" customFormat="false" ht="15" hidden="false" customHeight="true" outlineLevel="0" collapsed="false">
      <c r="A95" s="4" t="s">
        <v>140</v>
      </c>
      <c r="B95" s="4" t="n">
        <v>12820111</v>
      </c>
      <c r="C95" s="4" t="s">
        <v>65</v>
      </c>
      <c r="D95" s="4" t="s">
        <v>103</v>
      </c>
      <c r="E95" s="4" t="n">
        <v>68</v>
      </c>
      <c r="F95" s="4" t="n">
        <v>7.65</v>
      </c>
      <c r="G95" s="4" t="n">
        <v>50</v>
      </c>
      <c r="H95" s="4" t="n">
        <v>5.62</v>
      </c>
      <c r="I95" s="4" t="n">
        <v>2.03</v>
      </c>
    </row>
    <row r="96" customFormat="false" ht="15" hidden="false" customHeight="true" outlineLevel="0" collapsed="false">
      <c r="A96" s="4" t="s">
        <v>140</v>
      </c>
      <c r="B96" s="4" t="n">
        <v>12820111</v>
      </c>
      <c r="C96" s="4" t="s">
        <v>65</v>
      </c>
      <c r="D96" s="4" t="s">
        <v>102</v>
      </c>
      <c r="E96" s="4" t="n">
        <v>67</v>
      </c>
      <c r="F96" s="4" t="n">
        <v>7.54</v>
      </c>
      <c r="G96" s="4" t="n">
        <v>53</v>
      </c>
      <c r="H96" s="4" t="n">
        <v>5.96</v>
      </c>
      <c r="I96" s="4" t="n">
        <v>1.58</v>
      </c>
    </row>
    <row r="97" customFormat="false" ht="15" hidden="false" customHeight="true" outlineLevel="0" collapsed="false">
      <c r="A97" s="4" t="s">
        <v>140</v>
      </c>
      <c r="B97" s="4" t="n">
        <v>12820111</v>
      </c>
      <c r="C97" s="4" t="s">
        <v>65</v>
      </c>
      <c r="D97" s="4" t="s">
        <v>105</v>
      </c>
      <c r="E97" s="4" t="n">
        <v>17</v>
      </c>
      <c r="F97" s="4" t="n">
        <v>1.91</v>
      </c>
      <c r="G97" s="4" t="n">
        <v>25</v>
      </c>
      <c r="H97" s="4" t="n">
        <v>2.81</v>
      </c>
      <c r="I97" s="4" t="n">
        <v>-0.9</v>
      </c>
    </row>
    <row r="98" customFormat="false" ht="15" hidden="false" customHeight="true" outlineLevel="0" collapsed="false">
      <c r="A98" s="4" t="s">
        <v>140</v>
      </c>
      <c r="B98" s="4" t="n">
        <v>12820111</v>
      </c>
      <c r="C98" s="4" t="s">
        <v>65</v>
      </c>
      <c r="D98" s="4" t="s">
        <v>104</v>
      </c>
      <c r="E98" s="4" t="n">
        <v>33</v>
      </c>
      <c r="F98" s="4" t="n">
        <v>3.71</v>
      </c>
      <c r="G98" s="4" t="n">
        <v>22</v>
      </c>
      <c r="H98" s="4" t="n">
        <v>2.47</v>
      </c>
      <c r="I98" s="4" t="n">
        <v>1.24</v>
      </c>
    </row>
    <row r="99" customFormat="false" ht="15" hidden="false" customHeight="true" outlineLevel="0" collapsed="false">
      <c r="A99" s="4" t="s">
        <v>140</v>
      </c>
      <c r="B99" s="4" t="n">
        <v>12820111</v>
      </c>
      <c r="C99" s="4" t="s">
        <v>65</v>
      </c>
      <c r="D99" s="4" t="s">
        <v>106</v>
      </c>
      <c r="E99" s="4" t="n">
        <v>25</v>
      </c>
      <c r="F99" s="4" t="n">
        <v>2.81</v>
      </c>
      <c r="G99" s="4" t="n">
        <v>25</v>
      </c>
      <c r="H99" s="4" t="n">
        <v>2.81</v>
      </c>
      <c r="I99" s="4" t="n">
        <v>0</v>
      </c>
    </row>
    <row r="100" customFormat="false" ht="15" hidden="false" customHeight="true" outlineLevel="0" collapsed="false">
      <c r="A100" s="4" t="s">
        <v>140</v>
      </c>
      <c r="B100" s="4" t="n">
        <v>12820111</v>
      </c>
      <c r="C100" s="4" t="s">
        <v>65</v>
      </c>
      <c r="D100" s="4" t="s">
        <v>12</v>
      </c>
      <c r="E100" s="4" t="n">
        <v>5</v>
      </c>
      <c r="F100" s="4" t="n">
        <v>0.56</v>
      </c>
      <c r="G100" s="4" t="n">
        <v>22</v>
      </c>
      <c r="H100" s="4" t="n">
        <v>2.47</v>
      </c>
      <c r="I100" s="4" t="n">
        <v>-1.91</v>
      </c>
    </row>
    <row r="101" customFormat="false" ht="15" hidden="false" customHeight="true" outlineLevel="0" collapsed="false">
      <c r="A101" s="4" t="s">
        <v>140</v>
      </c>
      <c r="B101" s="4" t="n">
        <v>12820112</v>
      </c>
      <c r="C101" s="4" t="s">
        <v>67</v>
      </c>
      <c r="D101" s="4" t="s">
        <v>99</v>
      </c>
      <c r="E101" s="4" t="n">
        <v>455</v>
      </c>
      <c r="F101" s="4" t="n">
        <v>46.57</v>
      </c>
      <c r="G101" s="4" t="n">
        <v>309</v>
      </c>
      <c r="H101" s="4" t="n">
        <v>42.27</v>
      </c>
      <c r="I101" s="4" t="n">
        <v>4.3</v>
      </c>
    </row>
    <row r="102" customFormat="false" ht="15" hidden="false" customHeight="true" outlineLevel="0" collapsed="false">
      <c r="A102" s="4" t="s">
        <v>140</v>
      </c>
      <c r="B102" s="4" t="n">
        <v>12820112</v>
      </c>
      <c r="C102" s="4" t="s">
        <v>67</v>
      </c>
      <c r="D102" s="4" t="s">
        <v>101</v>
      </c>
      <c r="E102" s="4" t="n">
        <v>34</v>
      </c>
      <c r="F102" s="4" t="n">
        <v>3.48</v>
      </c>
      <c r="G102" s="4" t="n">
        <v>36</v>
      </c>
      <c r="H102" s="4" t="n">
        <v>4.92</v>
      </c>
      <c r="I102" s="4" t="n">
        <v>-1.44</v>
      </c>
    </row>
    <row r="103" customFormat="false" ht="15" hidden="false" customHeight="true" outlineLevel="0" collapsed="false">
      <c r="A103" s="4" t="s">
        <v>140</v>
      </c>
      <c r="B103" s="4" t="n">
        <v>12820112</v>
      </c>
      <c r="C103" s="4" t="s">
        <v>67</v>
      </c>
      <c r="D103" s="4" t="s">
        <v>100</v>
      </c>
      <c r="E103" s="4" t="n">
        <v>134</v>
      </c>
      <c r="F103" s="4" t="n">
        <v>13.72</v>
      </c>
      <c r="G103" s="4" t="n">
        <v>120</v>
      </c>
      <c r="H103" s="4" t="n">
        <v>16.42</v>
      </c>
      <c r="I103" s="4" t="n">
        <v>-2.7</v>
      </c>
    </row>
    <row r="104" customFormat="false" ht="15" hidden="false" customHeight="true" outlineLevel="0" collapsed="false">
      <c r="A104" s="4" t="s">
        <v>140</v>
      </c>
      <c r="B104" s="4" t="n">
        <v>12820112</v>
      </c>
      <c r="C104" s="4" t="s">
        <v>67</v>
      </c>
      <c r="D104" s="4" t="s">
        <v>103</v>
      </c>
      <c r="E104" s="4" t="n">
        <v>286</v>
      </c>
      <c r="F104" s="4" t="n">
        <v>29.27</v>
      </c>
      <c r="G104" s="4" t="n">
        <v>72</v>
      </c>
      <c r="H104" s="4" t="n">
        <v>9.85</v>
      </c>
      <c r="I104" s="4" t="n">
        <v>19.42</v>
      </c>
    </row>
    <row r="105" customFormat="false" ht="15" hidden="false" customHeight="true" outlineLevel="0" collapsed="false">
      <c r="A105" s="4" t="s">
        <v>140</v>
      </c>
      <c r="B105" s="4" t="n">
        <v>12820112</v>
      </c>
      <c r="C105" s="4" t="s">
        <v>67</v>
      </c>
      <c r="D105" s="4" t="s">
        <v>102</v>
      </c>
      <c r="E105" s="4" t="n">
        <v>13</v>
      </c>
      <c r="F105" s="4" t="n">
        <v>1.33</v>
      </c>
      <c r="G105" s="4" t="n">
        <v>3</v>
      </c>
      <c r="H105" s="4" t="n">
        <v>0.41</v>
      </c>
      <c r="I105" s="4" t="n">
        <v>0.92</v>
      </c>
    </row>
    <row r="106" customFormat="false" ht="15" hidden="false" customHeight="true" outlineLevel="0" collapsed="false">
      <c r="A106" s="4" t="s">
        <v>140</v>
      </c>
      <c r="B106" s="4" t="n">
        <v>12820112</v>
      </c>
      <c r="C106" s="4" t="s">
        <v>67</v>
      </c>
      <c r="D106" s="4" t="s">
        <v>105</v>
      </c>
      <c r="E106" s="4" t="n">
        <v>12</v>
      </c>
      <c r="F106" s="4" t="n">
        <v>1.23</v>
      </c>
      <c r="G106" s="4" t="n">
        <v>20</v>
      </c>
      <c r="H106" s="4" t="n">
        <v>2.74</v>
      </c>
      <c r="I106" s="4" t="n">
        <v>-1.51</v>
      </c>
    </row>
    <row r="107" customFormat="false" ht="15" hidden="false" customHeight="true" outlineLevel="0" collapsed="false">
      <c r="A107" s="4" t="s">
        <v>140</v>
      </c>
      <c r="B107" s="4" t="n">
        <v>12820112</v>
      </c>
      <c r="C107" s="4" t="s">
        <v>67</v>
      </c>
      <c r="D107" s="4" t="s">
        <v>104</v>
      </c>
      <c r="E107" s="4" t="n">
        <v>10</v>
      </c>
      <c r="F107" s="4" t="n">
        <v>1.02</v>
      </c>
      <c r="G107" s="4" t="n">
        <v>15</v>
      </c>
      <c r="H107" s="4" t="n">
        <v>2.05</v>
      </c>
      <c r="I107" s="4" t="n">
        <v>-1.03</v>
      </c>
    </row>
    <row r="108" customFormat="false" ht="15" hidden="false" customHeight="true" outlineLevel="0" collapsed="false">
      <c r="A108" s="4" t="s">
        <v>140</v>
      </c>
      <c r="B108" s="4" t="n">
        <v>12820112</v>
      </c>
      <c r="C108" s="4" t="s">
        <v>67</v>
      </c>
      <c r="D108" s="4" t="s">
        <v>106</v>
      </c>
      <c r="E108" s="4" t="n">
        <v>21</v>
      </c>
      <c r="F108" s="4" t="n">
        <v>2.15</v>
      </c>
      <c r="G108" s="4" t="n">
        <v>19</v>
      </c>
      <c r="H108" s="4" t="n">
        <v>2.6</v>
      </c>
      <c r="I108" s="4" t="n">
        <v>-0.45</v>
      </c>
    </row>
    <row r="109" customFormat="false" ht="15" hidden="false" customHeight="true" outlineLevel="0" collapsed="false">
      <c r="A109" s="4" t="s">
        <v>140</v>
      </c>
      <c r="B109" s="4" t="n">
        <v>12820112</v>
      </c>
      <c r="C109" s="4" t="s">
        <v>67</v>
      </c>
      <c r="D109" s="4" t="s">
        <v>12</v>
      </c>
      <c r="E109" s="4" t="n">
        <v>12</v>
      </c>
      <c r="F109" s="4" t="n">
        <v>1.23</v>
      </c>
      <c r="G109" s="4" t="n">
        <v>137</v>
      </c>
      <c r="H109" s="4" t="n">
        <v>18.74</v>
      </c>
      <c r="I109" s="4" t="n">
        <v>-17.51</v>
      </c>
    </row>
    <row r="110" customFormat="false" ht="15" hidden="false" customHeight="true" outlineLevel="0" collapsed="false">
      <c r="A110" s="4" t="s">
        <v>140</v>
      </c>
      <c r="B110" s="4" t="n">
        <v>12820113</v>
      </c>
      <c r="C110" s="4" t="s">
        <v>69</v>
      </c>
      <c r="D110" s="4" t="s">
        <v>99</v>
      </c>
      <c r="E110" s="4" t="n">
        <v>428</v>
      </c>
      <c r="F110" s="4" t="n">
        <v>40.76</v>
      </c>
      <c r="G110" s="4" t="n">
        <v>336</v>
      </c>
      <c r="H110" s="4" t="n">
        <v>37.09</v>
      </c>
      <c r="I110" s="4" t="n">
        <v>3.68</v>
      </c>
    </row>
    <row r="111" customFormat="false" ht="15" hidden="false" customHeight="true" outlineLevel="0" collapsed="false">
      <c r="A111" s="4" t="s">
        <v>140</v>
      </c>
      <c r="B111" s="4" t="n">
        <v>12820113</v>
      </c>
      <c r="C111" s="4" t="s">
        <v>69</v>
      </c>
      <c r="D111" s="4" t="s">
        <v>101</v>
      </c>
      <c r="E111" s="4" t="n">
        <v>106</v>
      </c>
      <c r="F111" s="4" t="n">
        <v>10.1</v>
      </c>
      <c r="G111" s="4" t="n">
        <v>83</v>
      </c>
      <c r="H111" s="4" t="n">
        <v>9.16</v>
      </c>
      <c r="I111" s="4" t="n">
        <v>0.93</v>
      </c>
    </row>
    <row r="112" customFormat="false" ht="15" hidden="false" customHeight="true" outlineLevel="0" collapsed="false">
      <c r="A112" s="4" t="s">
        <v>140</v>
      </c>
      <c r="B112" s="4" t="n">
        <v>12820113</v>
      </c>
      <c r="C112" s="4" t="s">
        <v>69</v>
      </c>
      <c r="D112" s="4" t="s">
        <v>100</v>
      </c>
      <c r="E112" s="4" t="n">
        <v>189</v>
      </c>
      <c r="F112" s="4" t="n">
        <v>18</v>
      </c>
      <c r="G112" s="4" t="n">
        <v>218</v>
      </c>
      <c r="H112" s="4" t="n">
        <v>24.06</v>
      </c>
      <c r="I112" s="4" t="n">
        <v>-6.06</v>
      </c>
    </row>
    <row r="113" customFormat="false" ht="15" hidden="false" customHeight="true" outlineLevel="0" collapsed="false">
      <c r="A113" s="4" t="s">
        <v>140</v>
      </c>
      <c r="B113" s="4" t="n">
        <v>12820113</v>
      </c>
      <c r="C113" s="4" t="s">
        <v>69</v>
      </c>
      <c r="D113" s="4" t="s">
        <v>103</v>
      </c>
      <c r="E113" s="4" t="n">
        <v>179</v>
      </c>
      <c r="F113" s="4" t="n">
        <v>17.05</v>
      </c>
      <c r="G113" s="4" t="n">
        <v>80</v>
      </c>
      <c r="H113" s="4" t="n">
        <v>8.83</v>
      </c>
      <c r="I113" s="4" t="n">
        <v>8.22</v>
      </c>
    </row>
    <row r="114" customFormat="false" ht="15" hidden="false" customHeight="true" outlineLevel="0" collapsed="false">
      <c r="A114" s="4" t="s">
        <v>140</v>
      </c>
      <c r="B114" s="4" t="n">
        <v>12820113</v>
      </c>
      <c r="C114" s="4" t="s">
        <v>69</v>
      </c>
      <c r="D114" s="4" t="s">
        <v>102</v>
      </c>
      <c r="E114" s="4" t="n">
        <v>55</v>
      </c>
      <c r="F114" s="4" t="n">
        <v>5.24</v>
      </c>
      <c r="G114" s="4" t="n">
        <v>30</v>
      </c>
      <c r="H114" s="4" t="n">
        <v>3.31</v>
      </c>
      <c r="I114" s="4" t="n">
        <v>1.93</v>
      </c>
    </row>
    <row r="115" customFormat="false" ht="15" hidden="false" customHeight="true" outlineLevel="0" collapsed="false">
      <c r="A115" s="4" t="s">
        <v>140</v>
      </c>
      <c r="B115" s="4" t="n">
        <v>12820113</v>
      </c>
      <c r="C115" s="4" t="s">
        <v>69</v>
      </c>
      <c r="D115" s="4" t="s">
        <v>105</v>
      </c>
      <c r="E115" s="4" t="n">
        <v>28</v>
      </c>
      <c r="F115" s="4" t="n">
        <v>2.67</v>
      </c>
      <c r="G115" s="4" t="n">
        <v>25</v>
      </c>
      <c r="H115" s="4" t="n">
        <v>2.76</v>
      </c>
      <c r="I115" s="4" t="n">
        <v>-0.09</v>
      </c>
    </row>
    <row r="116" customFormat="false" ht="15" hidden="false" customHeight="true" outlineLevel="0" collapsed="false">
      <c r="A116" s="4" t="s">
        <v>140</v>
      </c>
      <c r="B116" s="4" t="n">
        <v>12820113</v>
      </c>
      <c r="C116" s="4" t="s">
        <v>69</v>
      </c>
      <c r="D116" s="4" t="s">
        <v>104</v>
      </c>
      <c r="E116" s="4" t="n">
        <v>22</v>
      </c>
      <c r="F116" s="4" t="n">
        <v>2.1</v>
      </c>
      <c r="G116" s="4" t="n">
        <v>29</v>
      </c>
      <c r="H116" s="4" t="n">
        <v>3.2</v>
      </c>
      <c r="I116" s="4" t="n">
        <v>-1.11</v>
      </c>
    </row>
    <row r="117" customFormat="false" ht="15" hidden="false" customHeight="true" outlineLevel="0" collapsed="false">
      <c r="A117" s="4" t="s">
        <v>140</v>
      </c>
      <c r="B117" s="4" t="n">
        <v>12820113</v>
      </c>
      <c r="C117" s="4" t="s">
        <v>69</v>
      </c>
      <c r="D117" s="4" t="s">
        <v>106</v>
      </c>
      <c r="E117" s="4" t="n">
        <v>35</v>
      </c>
      <c r="F117" s="4" t="n">
        <v>3.33</v>
      </c>
      <c r="G117" s="4" t="n">
        <v>40</v>
      </c>
      <c r="H117" s="4" t="n">
        <v>4.42</v>
      </c>
      <c r="I117" s="4" t="n">
        <v>-1.08</v>
      </c>
    </row>
    <row r="118" customFormat="false" ht="15" hidden="false" customHeight="true" outlineLevel="0" collapsed="false">
      <c r="A118" s="4" t="s">
        <v>140</v>
      </c>
      <c r="B118" s="4" t="n">
        <v>12820113</v>
      </c>
      <c r="C118" s="4" t="s">
        <v>69</v>
      </c>
      <c r="D118" s="4" t="s">
        <v>12</v>
      </c>
      <c r="E118" s="4" t="n">
        <v>8</v>
      </c>
      <c r="F118" s="4" t="n">
        <v>0.76</v>
      </c>
      <c r="G118" s="4" t="n">
        <v>65</v>
      </c>
      <c r="H118" s="4" t="n">
        <v>7.17</v>
      </c>
      <c r="I118" s="4" t="n">
        <v>-6.41</v>
      </c>
    </row>
    <row r="119" customFormat="false" ht="15" hidden="false" customHeight="true" outlineLevel="0" collapsed="false">
      <c r="A119" s="4" t="s">
        <v>140</v>
      </c>
      <c r="B119" s="4" t="n">
        <v>12820114</v>
      </c>
      <c r="C119" s="4" t="s">
        <v>71</v>
      </c>
      <c r="D119" s="4" t="s">
        <v>99</v>
      </c>
      <c r="E119" s="4" t="n">
        <v>493</v>
      </c>
      <c r="F119" s="4" t="n">
        <v>40.21</v>
      </c>
      <c r="G119" s="4" t="n">
        <v>505</v>
      </c>
      <c r="H119" s="4" t="n">
        <v>43.38</v>
      </c>
      <c r="I119" s="4" t="n">
        <v>-3.17</v>
      </c>
    </row>
    <row r="120" customFormat="false" ht="15" hidden="false" customHeight="true" outlineLevel="0" collapsed="false">
      <c r="A120" s="4" t="s">
        <v>140</v>
      </c>
      <c r="B120" s="4" t="n">
        <v>12820114</v>
      </c>
      <c r="C120" s="4" t="s">
        <v>71</v>
      </c>
      <c r="D120" s="4" t="s">
        <v>101</v>
      </c>
      <c r="E120" s="4" t="n">
        <v>169</v>
      </c>
      <c r="F120" s="4" t="n">
        <v>13.78</v>
      </c>
      <c r="G120" s="4" t="n">
        <v>125</v>
      </c>
      <c r="H120" s="4" t="n">
        <v>10.74</v>
      </c>
      <c r="I120" s="4" t="n">
        <v>3.05</v>
      </c>
    </row>
    <row r="121" customFormat="false" ht="15" hidden="false" customHeight="true" outlineLevel="0" collapsed="false">
      <c r="A121" s="4" t="s">
        <v>140</v>
      </c>
      <c r="B121" s="4" t="n">
        <v>12820114</v>
      </c>
      <c r="C121" s="4" t="s">
        <v>71</v>
      </c>
      <c r="D121" s="4" t="s">
        <v>100</v>
      </c>
      <c r="E121" s="4" t="n">
        <v>289</v>
      </c>
      <c r="F121" s="4" t="n">
        <v>23.57</v>
      </c>
      <c r="G121" s="4" t="n">
        <v>331</v>
      </c>
      <c r="H121" s="4" t="n">
        <v>28.44</v>
      </c>
      <c r="I121" s="4" t="n">
        <v>-4.86</v>
      </c>
    </row>
    <row r="122" customFormat="false" ht="15" hidden="false" customHeight="true" outlineLevel="0" collapsed="false">
      <c r="A122" s="4" t="s">
        <v>140</v>
      </c>
      <c r="B122" s="4" t="n">
        <v>12820114</v>
      </c>
      <c r="C122" s="4" t="s">
        <v>71</v>
      </c>
      <c r="D122" s="4" t="s">
        <v>103</v>
      </c>
      <c r="E122" s="4" t="n">
        <v>53</v>
      </c>
      <c r="F122" s="4" t="n">
        <v>4.32</v>
      </c>
      <c r="G122" s="4" t="n">
        <v>45</v>
      </c>
      <c r="H122" s="4" t="n">
        <v>3.87</v>
      </c>
      <c r="I122" s="4" t="n">
        <v>0.46</v>
      </c>
    </row>
    <row r="123" customFormat="false" ht="15" hidden="false" customHeight="true" outlineLevel="0" collapsed="false">
      <c r="A123" s="4" t="s">
        <v>140</v>
      </c>
      <c r="B123" s="4" t="n">
        <v>12820114</v>
      </c>
      <c r="C123" s="4" t="s">
        <v>71</v>
      </c>
      <c r="D123" s="4" t="s">
        <v>102</v>
      </c>
      <c r="E123" s="4" t="n">
        <v>103</v>
      </c>
      <c r="F123" s="4" t="n">
        <v>8.4</v>
      </c>
      <c r="G123" s="4" t="n">
        <v>64</v>
      </c>
      <c r="H123" s="4" t="n">
        <v>5.5</v>
      </c>
      <c r="I123" s="4" t="n">
        <v>2.9</v>
      </c>
    </row>
    <row r="124" customFormat="false" ht="15" hidden="false" customHeight="true" outlineLevel="0" collapsed="false">
      <c r="A124" s="4" t="s">
        <v>140</v>
      </c>
      <c r="B124" s="4" t="n">
        <v>12820114</v>
      </c>
      <c r="C124" s="4" t="s">
        <v>71</v>
      </c>
      <c r="D124" s="4" t="s">
        <v>105</v>
      </c>
      <c r="E124" s="4" t="n">
        <v>21</v>
      </c>
      <c r="F124" s="4" t="n">
        <v>1.71</v>
      </c>
      <c r="G124" s="4" t="n">
        <v>24</v>
      </c>
      <c r="H124" s="4" t="n">
        <v>2.06</v>
      </c>
      <c r="I124" s="4" t="n">
        <v>-0.35</v>
      </c>
    </row>
    <row r="125" customFormat="false" ht="15" hidden="false" customHeight="true" outlineLevel="0" collapsed="false">
      <c r="A125" s="4" t="s">
        <v>140</v>
      </c>
      <c r="B125" s="4" t="n">
        <v>12820114</v>
      </c>
      <c r="C125" s="4" t="s">
        <v>71</v>
      </c>
      <c r="D125" s="4" t="s">
        <v>104</v>
      </c>
      <c r="E125" s="4" t="n">
        <v>44</v>
      </c>
      <c r="F125" s="4" t="n">
        <v>3.59</v>
      </c>
      <c r="G125" s="4" t="n">
        <v>30</v>
      </c>
      <c r="H125" s="4" t="n">
        <v>2.58</v>
      </c>
      <c r="I125" s="4" t="n">
        <v>1.01</v>
      </c>
    </row>
    <row r="126" customFormat="false" ht="15" hidden="false" customHeight="true" outlineLevel="0" collapsed="false">
      <c r="A126" s="4" t="s">
        <v>140</v>
      </c>
      <c r="B126" s="4" t="n">
        <v>12820114</v>
      </c>
      <c r="C126" s="4" t="s">
        <v>71</v>
      </c>
      <c r="D126" s="4" t="s">
        <v>106</v>
      </c>
      <c r="E126" s="4" t="n">
        <v>41</v>
      </c>
      <c r="F126" s="4" t="n">
        <v>3.34</v>
      </c>
      <c r="G126" s="4" t="n">
        <v>19</v>
      </c>
      <c r="H126" s="4" t="n">
        <v>1.63</v>
      </c>
      <c r="I126" s="4" t="n">
        <v>1.71</v>
      </c>
    </row>
    <row r="127" customFormat="false" ht="15" hidden="false" customHeight="true" outlineLevel="0" collapsed="false">
      <c r="A127" s="4" t="s">
        <v>140</v>
      </c>
      <c r="B127" s="4" t="n">
        <v>12820114</v>
      </c>
      <c r="C127" s="4" t="s">
        <v>71</v>
      </c>
      <c r="D127" s="4" t="s">
        <v>12</v>
      </c>
      <c r="E127" s="4" t="n">
        <v>13</v>
      </c>
      <c r="F127" s="4" t="n">
        <v>1.06</v>
      </c>
      <c r="G127" s="4" t="n">
        <v>21</v>
      </c>
      <c r="H127" s="4" t="n">
        <v>1.8</v>
      </c>
      <c r="I127" s="4" t="n">
        <v>-0.74</v>
      </c>
    </row>
    <row r="128" customFormat="false" ht="15" hidden="false" customHeight="true" outlineLevel="0" collapsed="false">
      <c r="A128" s="4" t="s">
        <v>140</v>
      </c>
      <c r="B128" s="4" t="n">
        <v>12820115</v>
      </c>
      <c r="C128" s="4" t="s">
        <v>73</v>
      </c>
      <c r="D128" s="4" t="s">
        <v>99</v>
      </c>
      <c r="E128" s="4" t="n">
        <v>420</v>
      </c>
      <c r="F128" s="4" t="n">
        <v>30.84</v>
      </c>
      <c r="G128" s="4" t="n">
        <v>514</v>
      </c>
      <c r="H128" s="4" t="n">
        <v>36.51</v>
      </c>
      <c r="I128" s="4" t="n">
        <v>-5.67</v>
      </c>
    </row>
    <row r="129" customFormat="false" ht="15" hidden="false" customHeight="true" outlineLevel="0" collapsed="false">
      <c r="A129" s="4" t="s">
        <v>140</v>
      </c>
      <c r="B129" s="4" t="n">
        <v>12820115</v>
      </c>
      <c r="C129" s="4" t="s">
        <v>73</v>
      </c>
      <c r="D129" s="4" t="s">
        <v>101</v>
      </c>
      <c r="E129" s="4" t="n">
        <v>305</v>
      </c>
      <c r="F129" s="4" t="n">
        <v>22.39</v>
      </c>
      <c r="G129" s="4" t="n">
        <v>265</v>
      </c>
      <c r="H129" s="4" t="n">
        <v>18.82</v>
      </c>
      <c r="I129" s="4" t="n">
        <v>3.57</v>
      </c>
    </row>
    <row r="130" customFormat="false" ht="15" hidden="false" customHeight="true" outlineLevel="0" collapsed="false">
      <c r="A130" s="4" t="s">
        <v>140</v>
      </c>
      <c r="B130" s="4" t="n">
        <v>12820115</v>
      </c>
      <c r="C130" s="4" t="s">
        <v>73</v>
      </c>
      <c r="D130" s="4" t="s">
        <v>100</v>
      </c>
      <c r="E130" s="4" t="n">
        <v>298</v>
      </c>
      <c r="F130" s="4" t="n">
        <v>21.88</v>
      </c>
      <c r="G130" s="4" t="n">
        <v>365</v>
      </c>
      <c r="H130" s="4" t="n">
        <v>25.92</v>
      </c>
      <c r="I130" s="4" t="n">
        <v>-4.04</v>
      </c>
    </row>
    <row r="131" customFormat="false" ht="15" hidden="false" customHeight="true" outlineLevel="0" collapsed="false">
      <c r="A131" s="4" t="s">
        <v>140</v>
      </c>
      <c r="B131" s="4" t="n">
        <v>12820115</v>
      </c>
      <c r="C131" s="4" t="s">
        <v>73</v>
      </c>
      <c r="D131" s="4" t="s">
        <v>103</v>
      </c>
      <c r="E131" s="4" t="n">
        <v>26</v>
      </c>
      <c r="F131" s="4" t="n">
        <v>1.91</v>
      </c>
      <c r="G131" s="4" t="n">
        <v>29</v>
      </c>
      <c r="H131" s="4" t="n">
        <v>2.06</v>
      </c>
      <c r="I131" s="4" t="n">
        <v>-0.15</v>
      </c>
    </row>
    <row r="132" customFormat="false" ht="15" hidden="false" customHeight="true" outlineLevel="0" collapsed="false">
      <c r="A132" s="4" t="s">
        <v>140</v>
      </c>
      <c r="B132" s="4" t="n">
        <v>12820115</v>
      </c>
      <c r="C132" s="4" t="s">
        <v>73</v>
      </c>
      <c r="D132" s="4" t="s">
        <v>102</v>
      </c>
      <c r="E132" s="4" t="n">
        <v>165</v>
      </c>
      <c r="F132" s="4" t="n">
        <v>12.11</v>
      </c>
      <c r="G132" s="4" t="n">
        <v>124</v>
      </c>
      <c r="H132" s="4" t="n">
        <v>8.81</v>
      </c>
      <c r="I132" s="4" t="n">
        <v>3.31</v>
      </c>
    </row>
    <row r="133" customFormat="false" ht="15" hidden="false" customHeight="true" outlineLevel="0" collapsed="false">
      <c r="A133" s="4" t="s">
        <v>140</v>
      </c>
      <c r="B133" s="4" t="n">
        <v>12820115</v>
      </c>
      <c r="C133" s="4" t="s">
        <v>73</v>
      </c>
      <c r="D133" s="4" t="s">
        <v>105</v>
      </c>
      <c r="E133" s="4" t="n">
        <v>49</v>
      </c>
      <c r="F133" s="4" t="n">
        <v>3.6</v>
      </c>
      <c r="G133" s="4" t="n">
        <v>48</v>
      </c>
      <c r="H133" s="4" t="n">
        <v>3.41</v>
      </c>
      <c r="I133" s="4" t="n">
        <v>0.19</v>
      </c>
    </row>
    <row r="134" customFormat="false" ht="15" hidden="false" customHeight="true" outlineLevel="0" collapsed="false">
      <c r="A134" s="4" t="s">
        <v>140</v>
      </c>
      <c r="B134" s="4" t="n">
        <v>12820115</v>
      </c>
      <c r="C134" s="4" t="s">
        <v>73</v>
      </c>
      <c r="D134" s="4" t="s">
        <v>104</v>
      </c>
      <c r="E134" s="4" t="n">
        <v>41</v>
      </c>
      <c r="F134" s="4" t="n">
        <v>3.01</v>
      </c>
      <c r="G134" s="4" t="n">
        <v>37</v>
      </c>
      <c r="H134" s="4" t="n">
        <v>2.63</v>
      </c>
      <c r="I134" s="4" t="n">
        <v>0.38</v>
      </c>
    </row>
    <row r="135" customFormat="false" ht="15" hidden="false" customHeight="true" outlineLevel="0" collapsed="false">
      <c r="A135" s="4" t="s">
        <v>140</v>
      </c>
      <c r="B135" s="4" t="n">
        <v>12820115</v>
      </c>
      <c r="C135" s="4" t="s">
        <v>73</v>
      </c>
      <c r="D135" s="4" t="s">
        <v>106</v>
      </c>
      <c r="E135" s="4" t="n">
        <v>45</v>
      </c>
      <c r="F135" s="4" t="n">
        <v>3.3</v>
      </c>
      <c r="G135" s="4" t="n">
        <v>21</v>
      </c>
      <c r="H135" s="4" t="n">
        <v>1.49</v>
      </c>
      <c r="I135" s="4" t="n">
        <v>1.81</v>
      </c>
    </row>
    <row r="136" customFormat="false" ht="15" hidden="false" customHeight="true" outlineLevel="0" collapsed="false">
      <c r="A136" s="4" t="s">
        <v>140</v>
      </c>
      <c r="B136" s="4" t="n">
        <v>12820115</v>
      </c>
      <c r="C136" s="4" t="s">
        <v>73</v>
      </c>
      <c r="D136" s="4" t="s">
        <v>12</v>
      </c>
      <c r="E136" s="4" t="n">
        <v>13</v>
      </c>
      <c r="F136" s="4" t="n">
        <v>0.95</v>
      </c>
      <c r="G136" s="4" t="n">
        <v>5</v>
      </c>
      <c r="H136" s="4" t="n">
        <v>0.36</v>
      </c>
      <c r="I136" s="4" t="n">
        <v>0.6</v>
      </c>
    </row>
    <row r="137" customFormat="false" ht="15" hidden="false" customHeight="true" outlineLevel="0" collapsed="false">
      <c r="A137" s="4" t="s">
        <v>140</v>
      </c>
      <c r="B137" s="4" t="n">
        <v>12820116</v>
      </c>
      <c r="C137" s="4" t="s">
        <v>75</v>
      </c>
      <c r="D137" s="4" t="s">
        <v>99</v>
      </c>
      <c r="E137" s="4" t="n">
        <v>282</v>
      </c>
      <c r="F137" s="4" t="n">
        <v>18.83</v>
      </c>
      <c r="G137" s="4" t="n">
        <v>378</v>
      </c>
      <c r="H137" s="4" t="n">
        <v>24.87</v>
      </c>
      <c r="I137" s="4" t="n">
        <v>-6.04</v>
      </c>
    </row>
    <row r="138" customFormat="false" ht="15" hidden="false" customHeight="true" outlineLevel="0" collapsed="false">
      <c r="A138" s="4" t="s">
        <v>140</v>
      </c>
      <c r="B138" s="4" t="n">
        <v>12820116</v>
      </c>
      <c r="C138" s="4" t="s">
        <v>75</v>
      </c>
      <c r="D138" s="4" t="s">
        <v>101</v>
      </c>
      <c r="E138" s="4" t="n">
        <v>417</v>
      </c>
      <c r="F138" s="4" t="n">
        <v>27.84</v>
      </c>
      <c r="G138" s="4" t="n">
        <v>453</v>
      </c>
      <c r="H138" s="4" t="n">
        <v>29.8</v>
      </c>
      <c r="I138" s="4" t="n">
        <v>-1.97</v>
      </c>
    </row>
    <row r="139" customFormat="false" ht="15" hidden="false" customHeight="true" outlineLevel="0" collapsed="false">
      <c r="A139" s="4" t="s">
        <v>140</v>
      </c>
      <c r="B139" s="4" t="n">
        <v>12820116</v>
      </c>
      <c r="C139" s="4" t="s">
        <v>75</v>
      </c>
      <c r="D139" s="4" t="s">
        <v>100</v>
      </c>
      <c r="E139" s="4" t="n">
        <v>276</v>
      </c>
      <c r="F139" s="4" t="n">
        <v>18.42</v>
      </c>
      <c r="G139" s="4" t="n">
        <v>299</v>
      </c>
      <c r="H139" s="4" t="n">
        <v>19.67</v>
      </c>
      <c r="I139" s="4" t="n">
        <v>-1.25</v>
      </c>
    </row>
    <row r="140" customFormat="false" ht="15" hidden="false" customHeight="true" outlineLevel="0" collapsed="false">
      <c r="A140" s="4" t="s">
        <v>140</v>
      </c>
      <c r="B140" s="4" t="n">
        <v>12820116</v>
      </c>
      <c r="C140" s="4" t="s">
        <v>75</v>
      </c>
      <c r="D140" s="4" t="s">
        <v>103</v>
      </c>
      <c r="E140" s="4" t="n">
        <v>15</v>
      </c>
      <c r="F140" s="4" t="n">
        <v>1</v>
      </c>
      <c r="G140" s="4" t="n">
        <v>22</v>
      </c>
      <c r="H140" s="4" t="n">
        <v>1.45</v>
      </c>
      <c r="I140" s="4" t="n">
        <v>-0.45</v>
      </c>
    </row>
    <row r="141" customFormat="false" ht="15" hidden="false" customHeight="true" outlineLevel="0" collapsed="false">
      <c r="A141" s="4" t="s">
        <v>140</v>
      </c>
      <c r="B141" s="4" t="n">
        <v>12820116</v>
      </c>
      <c r="C141" s="4" t="s">
        <v>75</v>
      </c>
      <c r="D141" s="4" t="s">
        <v>102</v>
      </c>
      <c r="E141" s="4" t="n">
        <v>275</v>
      </c>
      <c r="F141" s="4" t="n">
        <v>18.36</v>
      </c>
      <c r="G141" s="4" t="n">
        <v>183</v>
      </c>
      <c r="H141" s="4" t="n">
        <v>12.04</v>
      </c>
      <c r="I141" s="4" t="n">
        <v>6.32</v>
      </c>
    </row>
    <row r="142" customFormat="false" ht="15" hidden="false" customHeight="true" outlineLevel="0" collapsed="false">
      <c r="A142" s="4" t="s">
        <v>140</v>
      </c>
      <c r="B142" s="4" t="n">
        <v>12820116</v>
      </c>
      <c r="C142" s="4" t="s">
        <v>75</v>
      </c>
      <c r="D142" s="4" t="s">
        <v>105</v>
      </c>
      <c r="E142" s="4" t="n">
        <v>97</v>
      </c>
      <c r="F142" s="4" t="n">
        <v>6.48</v>
      </c>
      <c r="G142" s="4" t="n">
        <v>61</v>
      </c>
      <c r="H142" s="4" t="n">
        <v>4.01</v>
      </c>
      <c r="I142" s="4" t="n">
        <v>2.46</v>
      </c>
    </row>
    <row r="143" customFormat="false" ht="15" hidden="false" customHeight="true" outlineLevel="0" collapsed="false">
      <c r="A143" s="4" t="s">
        <v>140</v>
      </c>
      <c r="B143" s="4" t="n">
        <v>12820116</v>
      </c>
      <c r="C143" s="4" t="s">
        <v>75</v>
      </c>
      <c r="D143" s="4" t="s">
        <v>104</v>
      </c>
      <c r="E143" s="4" t="n">
        <v>78</v>
      </c>
      <c r="F143" s="4" t="n">
        <v>5.21</v>
      </c>
      <c r="G143" s="4" t="n">
        <v>59</v>
      </c>
      <c r="H143" s="4" t="n">
        <v>3.88</v>
      </c>
      <c r="I143" s="4" t="n">
        <v>1.33</v>
      </c>
    </row>
    <row r="144" customFormat="false" ht="15" hidden="false" customHeight="true" outlineLevel="0" collapsed="false">
      <c r="A144" s="4" t="s">
        <v>140</v>
      </c>
      <c r="B144" s="4" t="n">
        <v>12820116</v>
      </c>
      <c r="C144" s="4" t="s">
        <v>75</v>
      </c>
      <c r="D144" s="4" t="s">
        <v>106</v>
      </c>
      <c r="E144" s="4" t="n">
        <v>51</v>
      </c>
      <c r="F144" s="4" t="n">
        <v>3.4</v>
      </c>
      <c r="G144" s="4" t="n">
        <v>56</v>
      </c>
      <c r="H144" s="4" t="n">
        <v>3.68</v>
      </c>
      <c r="I144" s="4" t="n">
        <v>-0.28</v>
      </c>
    </row>
    <row r="145" customFormat="false" ht="15" hidden="false" customHeight="true" outlineLevel="0" collapsed="false">
      <c r="A145" s="4" t="s">
        <v>140</v>
      </c>
      <c r="B145" s="4" t="n">
        <v>12820116</v>
      </c>
      <c r="C145" s="4" t="s">
        <v>75</v>
      </c>
      <c r="D145" s="4" t="s">
        <v>12</v>
      </c>
      <c r="E145" s="4" t="n">
        <v>7</v>
      </c>
      <c r="F145" s="4" t="n">
        <v>0.47</v>
      </c>
      <c r="G145" s="4" t="n">
        <v>9</v>
      </c>
      <c r="H145" s="4" t="n">
        <v>0.59</v>
      </c>
      <c r="I145" s="4" t="n">
        <v>-0.12</v>
      </c>
    </row>
    <row r="146" customFormat="false" ht="15" hidden="false" customHeight="true" outlineLevel="0" collapsed="false">
      <c r="A146" s="4" t="s">
        <v>140</v>
      </c>
      <c r="B146" s="4" t="n">
        <v>12820117</v>
      </c>
      <c r="C146" s="4" t="s">
        <v>77</v>
      </c>
      <c r="D146" s="4" t="s">
        <v>99</v>
      </c>
      <c r="E146" s="4" t="n">
        <v>216</v>
      </c>
      <c r="F146" s="4" t="n">
        <v>22.88</v>
      </c>
      <c r="G146" s="4" t="n">
        <v>149</v>
      </c>
      <c r="H146" s="4" t="n">
        <v>21.98</v>
      </c>
      <c r="I146" s="4" t="n">
        <v>0.9</v>
      </c>
    </row>
    <row r="147" customFormat="false" ht="15" hidden="false" customHeight="true" outlineLevel="0" collapsed="false">
      <c r="A147" s="4" t="s">
        <v>140</v>
      </c>
      <c r="B147" s="4" t="n">
        <v>12820117</v>
      </c>
      <c r="C147" s="4" t="s">
        <v>77</v>
      </c>
      <c r="D147" s="4" t="s">
        <v>101</v>
      </c>
      <c r="E147" s="4" t="n">
        <v>288</v>
      </c>
      <c r="F147" s="4" t="n">
        <v>30.51</v>
      </c>
      <c r="G147" s="4" t="n">
        <v>233</v>
      </c>
      <c r="H147" s="4" t="n">
        <v>34.37</v>
      </c>
      <c r="I147" s="4" t="n">
        <v>-3.86</v>
      </c>
    </row>
    <row r="148" customFormat="false" ht="15" hidden="false" customHeight="true" outlineLevel="0" collapsed="false">
      <c r="A148" s="4" t="s">
        <v>140</v>
      </c>
      <c r="B148" s="4" t="n">
        <v>12820117</v>
      </c>
      <c r="C148" s="4" t="s">
        <v>77</v>
      </c>
      <c r="D148" s="4" t="s">
        <v>100</v>
      </c>
      <c r="E148" s="4" t="n">
        <v>129</v>
      </c>
      <c r="F148" s="4" t="n">
        <v>13.67</v>
      </c>
      <c r="G148" s="4" t="n">
        <v>131</v>
      </c>
      <c r="H148" s="4" t="n">
        <v>19.32</v>
      </c>
      <c r="I148" s="4" t="n">
        <v>-5.66</v>
      </c>
    </row>
    <row r="149" customFormat="false" ht="15" hidden="false" customHeight="true" outlineLevel="0" collapsed="false">
      <c r="A149" s="4" t="s">
        <v>140</v>
      </c>
      <c r="B149" s="4" t="n">
        <v>12820117</v>
      </c>
      <c r="C149" s="4" t="s">
        <v>77</v>
      </c>
      <c r="D149" s="4" t="s">
        <v>103</v>
      </c>
      <c r="E149" s="4" t="n">
        <v>20</v>
      </c>
      <c r="F149" s="4" t="n">
        <v>2.12</v>
      </c>
      <c r="G149" s="4" t="n">
        <v>10</v>
      </c>
      <c r="H149" s="4" t="n">
        <v>1.47</v>
      </c>
      <c r="I149" s="4" t="n">
        <v>0.64</v>
      </c>
    </row>
    <row r="150" customFormat="false" ht="15" hidden="false" customHeight="true" outlineLevel="0" collapsed="false">
      <c r="A150" s="4" t="s">
        <v>140</v>
      </c>
      <c r="B150" s="4" t="n">
        <v>12820117</v>
      </c>
      <c r="C150" s="4" t="s">
        <v>77</v>
      </c>
      <c r="D150" s="4" t="s">
        <v>102</v>
      </c>
      <c r="E150" s="4" t="n">
        <v>147</v>
      </c>
      <c r="F150" s="4" t="n">
        <v>15.57</v>
      </c>
      <c r="G150" s="4" t="n">
        <v>81</v>
      </c>
      <c r="H150" s="4" t="n">
        <v>11.95</v>
      </c>
      <c r="I150" s="4" t="n">
        <v>3.63</v>
      </c>
    </row>
    <row r="151" customFormat="false" ht="15" hidden="false" customHeight="true" outlineLevel="0" collapsed="false">
      <c r="A151" s="4" t="s">
        <v>140</v>
      </c>
      <c r="B151" s="4" t="n">
        <v>12820117</v>
      </c>
      <c r="C151" s="4" t="s">
        <v>77</v>
      </c>
      <c r="D151" s="4" t="s">
        <v>105</v>
      </c>
      <c r="E151" s="4" t="n">
        <v>57</v>
      </c>
      <c r="F151" s="4" t="n">
        <v>6.04</v>
      </c>
      <c r="G151" s="4" t="n">
        <v>27</v>
      </c>
      <c r="H151" s="4" t="n">
        <v>3.98</v>
      </c>
      <c r="I151" s="4" t="n">
        <v>2.06</v>
      </c>
    </row>
    <row r="152" customFormat="false" ht="15" hidden="false" customHeight="true" outlineLevel="0" collapsed="false">
      <c r="A152" s="4" t="s">
        <v>140</v>
      </c>
      <c r="B152" s="4" t="n">
        <v>12820117</v>
      </c>
      <c r="C152" s="4" t="s">
        <v>77</v>
      </c>
      <c r="D152" s="4" t="s">
        <v>104</v>
      </c>
      <c r="E152" s="4" t="n">
        <v>56</v>
      </c>
      <c r="F152" s="4" t="n">
        <v>5.93</v>
      </c>
      <c r="G152" s="4" t="n">
        <v>31</v>
      </c>
      <c r="H152" s="4" t="n">
        <v>4.57</v>
      </c>
      <c r="I152" s="4" t="n">
        <v>1.36</v>
      </c>
    </row>
    <row r="153" customFormat="false" ht="15" hidden="false" customHeight="true" outlineLevel="0" collapsed="false">
      <c r="A153" s="4" t="s">
        <v>140</v>
      </c>
      <c r="B153" s="4" t="n">
        <v>12820117</v>
      </c>
      <c r="C153" s="4" t="s">
        <v>77</v>
      </c>
      <c r="D153" s="4" t="s">
        <v>106</v>
      </c>
      <c r="E153" s="4" t="n">
        <v>28</v>
      </c>
      <c r="F153" s="4" t="n">
        <v>2.97</v>
      </c>
      <c r="G153" s="4" t="n">
        <v>13</v>
      </c>
      <c r="H153" s="4" t="n">
        <v>1.92</v>
      </c>
      <c r="I153" s="4" t="n">
        <v>1.05</v>
      </c>
    </row>
    <row r="154" customFormat="false" ht="15" hidden="false" customHeight="true" outlineLevel="0" collapsed="false">
      <c r="A154" s="4" t="s">
        <v>140</v>
      </c>
      <c r="B154" s="4" t="n">
        <v>12820117</v>
      </c>
      <c r="C154" s="4" t="s">
        <v>77</v>
      </c>
      <c r="D154" s="4" t="s">
        <v>12</v>
      </c>
      <c r="E154" s="4" t="n">
        <v>3</v>
      </c>
      <c r="F154" s="4" t="n">
        <v>0.32</v>
      </c>
      <c r="G154" s="4" t="n">
        <v>3</v>
      </c>
      <c r="H154" s="4" t="n">
        <v>0.44</v>
      </c>
      <c r="I154" s="4" t="n">
        <v>-0.12</v>
      </c>
    </row>
    <row r="155" customFormat="false" ht="15" hidden="false" customHeight="true" outlineLevel="0" collapsed="false">
      <c r="A155" s="4" t="s">
        <v>140</v>
      </c>
      <c r="B155" s="4" t="n">
        <v>12820118</v>
      </c>
      <c r="C155" s="4" t="s">
        <v>79</v>
      </c>
      <c r="D155" s="4" t="s">
        <v>99</v>
      </c>
      <c r="E155" s="4" t="n">
        <v>338</v>
      </c>
      <c r="F155" s="4" t="n">
        <v>37.14</v>
      </c>
      <c r="G155" s="4" t="n">
        <v>298</v>
      </c>
      <c r="H155" s="4" t="n">
        <v>35.86</v>
      </c>
      <c r="I155" s="4" t="n">
        <v>1.28</v>
      </c>
    </row>
    <row r="156" customFormat="false" ht="15" hidden="false" customHeight="true" outlineLevel="0" collapsed="false">
      <c r="A156" s="4" t="s">
        <v>140</v>
      </c>
      <c r="B156" s="4" t="n">
        <v>12820118</v>
      </c>
      <c r="C156" s="4" t="s">
        <v>79</v>
      </c>
      <c r="D156" s="4" t="s">
        <v>101</v>
      </c>
      <c r="E156" s="4" t="n">
        <v>67</v>
      </c>
      <c r="F156" s="4" t="n">
        <v>7.36</v>
      </c>
      <c r="G156" s="4" t="n">
        <v>87</v>
      </c>
      <c r="H156" s="4" t="n">
        <v>10.47</v>
      </c>
      <c r="I156" s="4" t="n">
        <v>-3.11</v>
      </c>
    </row>
    <row r="157" customFormat="false" ht="15" hidden="false" customHeight="true" outlineLevel="0" collapsed="false">
      <c r="A157" s="4" t="s">
        <v>140</v>
      </c>
      <c r="B157" s="4" t="n">
        <v>12820118</v>
      </c>
      <c r="C157" s="4" t="s">
        <v>79</v>
      </c>
      <c r="D157" s="4" t="s">
        <v>100</v>
      </c>
      <c r="E157" s="4" t="n">
        <v>178</v>
      </c>
      <c r="F157" s="4" t="n">
        <v>19.56</v>
      </c>
      <c r="G157" s="4" t="n">
        <v>213</v>
      </c>
      <c r="H157" s="4" t="n">
        <v>25.63</v>
      </c>
      <c r="I157" s="4" t="n">
        <v>-6.07</v>
      </c>
    </row>
    <row r="158" customFormat="false" ht="15" hidden="false" customHeight="true" outlineLevel="0" collapsed="false">
      <c r="A158" s="4" t="s">
        <v>140</v>
      </c>
      <c r="B158" s="4" t="n">
        <v>12820118</v>
      </c>
      <c r="C158" s="4" t="s">
        <v>79</v>
      </c>
      <c r="D158" s="4" t="s">
        <v>103</v>
      </c>
      <c r="E158" s="4" t="n">
        <v>210</v>
      </c>
      <c r="F158" s="4" t="n">
        <v>23.08</v>
      </c>
      <c r="G158" s="4" t="n">
        <v>81</v>
      </c>
      <c r="H158" s="4" t="n">
        <v>9.75</v>
      </c>
      <c r="I158" s="4" t="n">
        <v>13.33</v>
      </c>
    </row>
    <row r="159" customFormat="false" ht="15" hidden="false" customHeight="true" outlineLevel="0" collapsed="false">
      <c r="A159" s="4" t="s">
        <v>140</v>
      </c>
      <c r="B159" s="4" t="n">
        <v>12820118</v>
      </c>
      <c r="C159" s="4" t="s">
        <v>79</v>
      </c>
      <c r="D159" s="4" t="s">
        <v>102</v>
      </c>
      <c r="E159" s="4" t="n">
        <v>34</v>
      </c>
      <c r="F159" s="4" t="n">
        <v>3.74</v>
      </c>
      <c r="G159" s="4" t="n">
        <v>20</v>
      </c>
      <c r="H159" s="4" t="n">
        <v>2.41</v>
      </c>
      <c r="I159" s="4" t="n">
        <v>1.33</v>
      </c>
    </row>
    <row r="160" customFormat="false" ht="15" hidden="false" customHeight="true" outlineLevel="0" collapsed="false">
      <c r="A160" s="4" t="s">
        <v>140</v>
      </c>
      <c r="B160" s="4" t="n">
        <v>12820118</v>
      </c>
      <c r="C160" s="4" t="s">
        <v>79</v>
      </c>
      <c r="D160" s="4" t="s">
        <v>105</v>
      </c>
      <c r="E160" s="4" t="n">
        <v>12</v>
      </c>
      <c r="F160" s="4" t="n">
        <v>1.32</v>
      </c>
      <c r="G160" s="4" t="n">
        <v>24</v>
      </c>
      <c r="H160" s="4" t="n">
        <v>2.89</v>
      </c>
      <c r="I160" s="4" t="n">
        <v>-1.57</v>
      </c>
    </row>
    <row r="161" customFormat="false" ht="15" hidden="false" customHeight="true" outlineLevel="0" collapsed="false">
      <c r="A161" s="4" t="s">
        <v>140</v>
      </c>
      <c r="B161" s="4" t="n">
        <v>12820118</v>
      </c>
      <c r="C161" s="4" t="s">
        <v>79</v>
      </c>
      <c r="D161" s="4" t="s">
        <v>104</v>
      </c>
      <c r="E161" s="4" t="n">
        <v>13</v>
      </c>
      <c r="F161" s="4" t="n">
        <v>1.43</v>
      </c>
      <c r="G161" s="4" t="n">
        <v>22</v>
      </c>
      <c r="H161" s="4" t="n">
        <v>2.65</v>
      </c>
      <c r="I161" s="4" t="n">
        <v>-1.22</v>
      </c>
    </row>
    <row r="162" customFormat="false" ht="15" hidden="false" customHeight="true" outlineLevel="0" collapsed="false">
      <c r="A162" s="4" t="s">
        <v>140</v>
      </c>
      <c r="B162" s="4" t="n">
        <v>12820118</v>
      </c>
      <c r="C162" s="4" t="s">
        <v>79</v>
      </c>
      <c r="D162" s="4" t="s">
        <v>106</v>
      </c>
      <c r="E162" s="4" t="n">
        <v>39</v>
      </c>
      <c r="F162" s="4" t="n">
        <v>4.29</v>
      </c>
      <c r="G162" s="4" t="n">
        <v>30</v>
      </c>
      <c r="H162" s="4" t="n">
        <v>3.61</v>
      </c>
      <c r="I162" s="4" t="n">
        <v>0.68</v>
      </c>
    </row>
    <row r="163" customFormat="false" ht="15" hidden="false" customHeight="true" outlineLevel="0" collapsed="false">
      <c r="A163" s="4" t="s">
        <v>140</v>
      </c>
      <c r="B163" s="4" t="n">
        <v>12820118</v>
      </c>
      <c r="C163" s="4" t="s">
        <v>79</v>
      </c>
      <c r="D163" s="4" t="s">
        <v>12</v>
      </c>
      <c r="E163" s="4" t="n">
        <v>19</v>
      </c>
      <c r="F163" s="4" t="n">
        <v>2.09</v>
      </c>
      <c r="G163" s="4" t="n">
        <v>56</v>
      </c>
      <c r="H163" s="4" t="n">
        <v>6.74</v>
      </c>
      <c r="I163" s="4" t="n">
        <v>-4.65</v>
      </c>
    </row>
    <row r="164" customFormat="false" ht="15" hidden="false" customHeight="true" outlineLevel="0" collapsed="false">
      <c r="A164" s="4" t="s">
        <v>140</v>
      </c>
      <c r="B164" s="4" t="n">
        <v>12820201</v>
      </c>
      <c r="C164" s="4" t="s">
        <v>81</v>
      </c>
      <c r="D164" s="4" t="s">
        <v>99</v>
      </c>
      <c r="E164" s="4" t="n">
        <v>49</v>
      </c>
      <c r="F164" s="4" t="n">
        <v>17.63</v>
      </c>
      <c r="G164" s="4" t="n">
        <v>62</v>
      </c>
      <c r="H164" s="4" t="n">
        <v>20.6</v>
      </c>
      <c r="I164" s="4" t="n">
        <v>-2.97</v>
      </c>
    </row>
    <row r="165" customFormat="false" ht="15" hidden="false" customHeight="true" outlineLevel="0" collapsed="false">
      <c r="A165" s="4" t="s">
        <v>140</v>
      </c>
      <c r="B165" s="4" t="n">
        <v>12820201</v>
      </c>
      <c r="C165" s="4" t="s">
        <v>81</v>
      </c>
      <c r="D165" s="4" t="s">
        <v>101</v>
      </c>
      <c r="E165" s="4" t="n">
        <v>60</v>
      </c>
      <c r="F165" s="4" t="n">
        <v>21.58</v>
      </c>
      <c r="G165" s="4" t="n">
        <v>66</v>
      </c>
      <c r="H165" s="4" t="n">
        <v>21.93</v>
      </c>
      <c r="I165" s="4" t="n">
        <v>-0.34</v>
      </c>
    </row>
    <row r="166" customFormat="false" ht="15" hidden="false" customHeight="true" outlineLevel="0" collapsed="false">
      <c r="A166" s="4" t="s">
        <v>140</v>
      </c>
      <c r="B166" s="4" t="n">
        <v>12820201</v>
      </c>
      <c r="C166" s="4" t="s">
        <v>81</v>
      </c>
      <c r="D166" s="4" t="s">
        <v>100</v>
      </c>
      <c r="E166" s="4" t="n">
        <v>49</v>
      </c>
      <c r="F166" s="4" t="n">
        <v>17.63</v>
      </c>
      <c r="G166" s="4" t="n">
        <v>72</v>
      </c>
      <c r="H166" s="4" t="n">
        <v>23.92</v>
      </c>
      <c r="I166" s="4" t="n">
        <v>-6.29</v>
      </c>
    </row>
    <row r="167" customFormat="false" ht="15" hidden="false" customHeight="true" outlineLevel="0" collapsed="false">
      <c r="A167" s="4" t="s">
        <v>140</v>
      </c>
      <c r="B167" s="4" t="n">
        <v>12820201</v>
      </c>
      <c r="C167" s="4" t="s">
        <v>81</v>
      </c>
      <c r="D167" s="4" t="s">
        <v>103</v>
      </c>
      <c r="E167" s="4" t="n">
        <v>13</v>
      </c>
      <c r="F167" s="4" t="n">
        <v>4.68</v>
      </c>
      <c r="G167" s="4" t="n">
        <v>20</v>
      </c>
      <c r="H167" s="4" t="n">
        <v>6.64</v>
      </c>
      <c r="I167" s="4" t="n">
        <v>-1.97</v>
      </c>
    </row>
    <row r="168" customFormat="false" ht="15" hidden="false" customHeight="true" outlineLevel="0" collapsed="false">
      <c r="A168" s="4" t="s">
        <v>140</v>
      </c>
      <c r="B168" s="4" t="n">
        <v>12820201</v>
      </c>
      <c r="C168" s="4" t="s">
        <v>81</v>
      </c>
      <c r="D168" s="4" t="s">
        <v>102</v>
      </c>
      <c r="E168" s="4" t="n">
        <v>35</v>
      </c>
      <c r="F168" s="4" t="n">
        <v>12.59</v>
      </c>
      <c r="G168" s="4" t="n">
        <v>22</v>
      </c>
      <c r="H168" s="4" t="n">
        <v>7.31</v>
      </c>
      <c r="I168" s="4" t="n">
        <v>5.28</v>
      </c>
    </row>
    <row r="169" customFormat="false" ht="15" hidden="false" customHeight="true" outlineLevel="0" collapsed="false">
      <c r="A169" s="4" t="s">
        <v>140</v>
      </c>
      <c r="B169" s="4" t="n">
        <v>12820201</v>
      </c>
      <c r="C169" s="4" t="s">
        <v>81</v>
      </c>
      <c r="D169" s="4" t="s">
        <v>105</v>
      </c>
      <c r="E169" s="4" t="n">
        <v>24</v>
      </c>
      <c r="F169" s="4" t="n">
        <v>8.63</v>
      </c>
      <c r="G169" s="4" t="n">
        <v>22</v>
      </c>
      <c r="H169" s="4" t="n">
        <v>7.31</v>
      </c>
      <c r="I169" s="4" t="n">
        <v>1.32</v>
      </c>
    </row>
    <row r="170" customFormat="false" ht="15" hidden="false" customHeight="true" outlineLevel="0" collapsed="false">
      <c r="A170" s="4" t="s">
        <v>140</v>
      </c>
      <c r="B170" s="4" t="n">
        <v>12820201</v>
      </c>
      <c r="C170" s="4" t="s">
        <v>81</v>
      </c>
      <c r="D170" s="4" t="s">
        <v>104</v>
      </c>
      <c r="E170" s="4" t="n">
        <v>13</v>
      </c>
      <c r="F170" s="4" t="n">
        <v>4.68</v>
      </c>
      <c r="G170" s="4" t="n">
        <v>13</v>
      </c>
      <c r="H170" s="4" t="n">
        <v>4.32</v>
      </c>
      <c r="I170" s="4" t="n">
        <v>0.36</v>
      </c>
    </row>
    <row r="171" customFormat="false" ht="15" hidden="false" customHeight="true" outlineLevel="0" collapsed="false">
      <c r="A171" s="4" t="s">
        <v>140</v>
      </c>
      <c r="B171" s="4" t="n">
        <v>12820201</v>
      </c>
      <c r="C171" s="4" t="s">
        <v>81</v>
      </c>
      <c r="D171" s="4" t="s">
        <v>106</v>
      </c>
      <c r="E171" s="4" t="n">
        <v>30</v>
      </c>
      <c r="F171" s="4" t="n">
        <v>10.79</v>
      </c>
      <c r="G171" s="4" t="n">
        <v>22</v>
      </c>
      <c r="H171" s="4" t="n">
        <v>7.31</v>
      </c>
      <c r="I171" s="4" t="n">
        <v>3.48</v>
      </c>
    </row>
    <row r="172" customFormat="false" ht="15" hidden="false" customHeight="true" outlineLevel="0" collapsed="false">
      <c r="A172" s="4" t="s">
        <v>140</v>
      </c>
      <c r="B172" s="4" t="n">
        <v>12820201</v>
      </c>
      <c r="C172" s="4" t="s">
        <v>81</v>
      </c>
      <c r="D172" s="4" t="s">
        <v>12</v>
      </c>
      <c r="E172" s="4" t="n">
        <v>5</v>
      </c>
      <c r="F172" s="4" t="n">
        <v>1.8</v>
      </c>
      <c r="G172" s="4" t="n">
        <v>2</v>
      </c>
      <c r="H172" s="4" t="n">
        <v>0.66</v>
      </c>
      <c r="I172" s="4" t="n">
        <v>1.13</v>
      </c>
    </row>
    <row r="173" customFormat="false" ht="15" hidden="false" customHeight="true" outlineLevel="0" collapsed="false">
      <c r="A173" s="4" t="s">
        <v>140</v>
      </c>
      <c r="B173" s="4" t="n">
        <v>12820301</v>
      </c>
      <c r="C173" s="4" t="s">
        <v>83</v>
      </c>
      <c r="D173" s="4" t="s">
        <v>99</v>
      </c>
      <c r="E173" s="4" t="n">
        <v>172</v>
      </c>
      <c r="F173" s="4" t="n">
        <v>15.85</v>
      </c>
      <c r="G173" s="4" t="n">
        <v>211</v>
      </c>
      <c r="H173" s="4" t="n">
        <v>19.87</v>
      </c>
      <c r="I173" s="4" t="n">
        <v>-4.02</v>
      </c>
    </row>
    <row r="174" customFormat="false" ht="15" hidden="false" customHeight="true" outlineLevel="0" collapsed="false">
      <c r="A174" s="4" t="s">
        <v>140</v>
      </c>
      <c r="B174" s="4" t="n">
        <v>12820301</v>
      </c>
      <c r="C174" s="4" t="s">
        <v>83</v>
      </c>
      <c r="D174" s="4" t="s">
        <v>101</v>
      </c>
      <c r="E174" s="4" t="n">
        <v>219</v>
      </c>
      <c r="F174" s="4" t="n">
        <v>20.18</v>
      </c>
      <c r="G174" s="4" t="n">
        <v>192</v>
      </c>
      <c r="H174" s="4" t="n">
        <v>18.08</v>
      </c>
      <c r="I174" s="4" t="n">
        <v>2.11</v>
      </c>
    </row>
    <row r="175" customFormat="false" ht="15" hidden="false" customHeight="true" outlineLevel="0" collapsed="false">
      <c r="A175" s="4" t="s">
        <v>140</v>
      </c>
      <c r="B175" s="4" t="n">
        <v>12820301</v>
      </c>
      <c r="C175" s="4" t="s">
        <v>83</v>
      </c>
      <c r="D175" s="4" t="s">
        <v>100</v>
      </c>
      <c r="E175" s="4" t="n">
        <v>335</v>
      </c>
      <c r="F175" s="4" t="n">
        <v>30.88</v>
      </c>
      <c r="G175" s="4" t="n">
        <v>402</v>
      </c>
      <c r="H175" s="4" t="n">
        <v>37.85</v>
      </c>
      <c r="I175" s="4" t="n">
        <v>-6.98</v>
      </c>
    </row>
    <row r="176" customFormat="false" ht="15" hidden="false" customHeight="true" outlineLevel="0" collapsed="false">
      <c r="A176" s="4" t="s">
        <v>140</v>
      </c>
      <c r="B176" s="4" t="n">
        <v>12820301</v>
      </c>
      <c r="C176" s="4" t="s">
        <v>83</v>
      </c>
      <c r="D176" s="4" t="s">
        <v>103</v>
      </c>
      <c r="E176" s="4" t="n">
        <v>42</v>
      </c>
      <c r="F176" s="4" t="n">
        <v>3.87</v>
      </c>
      <c r="G176" s="4" t="n">
        <v>27</v>
      </c>
      <c r="H176" s="4" t="n">
        <v>2.54</v>
      </c>
      <c r="I176" s="4" t="n">
        <v>1.33</v>
      </c>
    </row>
    <row r="177" customFormat="false" ht="15" hidden="false" customHeight="true" outlineLevel="0" collapsed="false">
      <c r="A177" s="4" t="s">
        <v>140</v>
      </c>
      <c r="B177" s="4" t="n">
        <v>12820301</v>
      </c>
      <c r="C177" s="4" t="s">
        <v>83</v>
      </c>
      <c r="D177" s="4" t="s">
        <v>102</v>
      </c>
      <c r="E177" s="4" t="n">
        <v>106</v>
      </c>
      <c r="F177" s="4" t="n">
        <v>9.77</v>
      </c>
      <c r="G177" s="4" t="n">
        <v>70</v>
      </c>
      <c r="H177" s="4" t="n">
        <v>6.59</v>
      </c>
      <c r="I177" s="4" t="n">
        <v>3.18</v>
      </c>
    </row>
    <row r="178" customFormat="false" ht="15" hidden="false" customHeight="true" outlineLevel="0" collapsed="false">
      <c r="A178" s="4" t="s">
        <v>140</v>
      </c>
      <c r="B178" s="4" t="n">
        <v>12820301</v>
      </c>
      <c r="C178" s="4" t="s">
        <v>83</v>
      </c>
      <c r="D178" s="4" t="s">
        <v>105</v>
      </c>
      <c r="E178" s="4" t="n">
        <v>67</v>
      </c>
      <c r="F178" s="4" t="n">
        <v>6.18</v>
      </c>
      <c r="G178" s="4" t="n">
        <v>49</v>
      </c>
      <c r="H178" s="4" t="n">
        <v>4.61</v>
      </c>
      <c r="I178" s="4" t="n">
        <v>1.56</v>
      </c>
    </row>
    <row r="179" customFormat="false" ht="15" hidden="false" customHeight="true" outlineLevel="0" collapsed="false">
      <c r="A179" s="4" t="s">
        <v>140</v>
      </c>
      <c r="B179" s="4" t="n">
        <v>12820301</v>
      </c>
      <c r="C179" s="4" t="s">
        <v>83</v>
      </c>
      <c r="D179" s="4" t="s">
        <v>104</v>
      </c>
      <c r="E179" s="4" t="n">
        <v>63</v>
      </c>
      <c r="F179" s="4" t="n">
        <v>5.81</v>
      </c>
      <c r="G179" s="4" t="n">
        <v>55</v>
      </c>
      <c r="H179" s="4" t="n">
        <v>5.18</v>
      </c>
      <c r="I179" s="4" t="n">
        <v>0.63</v>
      </c>
    </row>
    <row r="180" customFormat="false" ht="15" hidden="false" customHeight="true" outlineLevel="0" collapsed="false">
      <c r="A180" s="4" t="s">
        <v>140</v>
      </c>
      <c r="B180" s="4" t="n">
        <v>12820301</v>
      </c>
      <c r="C180" s="4" t="s">
        <v>83</v>
      </c>
      <c r="D180" s="4" t="s">
        <v>106</v>
      </c>
      <c r="E180" s="4" t="n">
        <v>63</v>
      </c>
      <c r="F180" s="4" t="n">
        <v>5.81</v>
      </c>
      <c r="G180" s="4" t="n">
        <v>47</v>
      </c>
      <c r="H180" s="4" t="n">
        <v>4.43</v>
      </c>
      <c r="I180" s="4" t="n">
        <v>1.38</v>
      </c>
    </row>
    <row r="181" customFormat="false" ht="15" hidden="false" customHeight="true" outlineLevel="0" collapsed="false">
      <c r="A181" s="4" t="s">
        <v>140</v>
      </c>
      <c r="B181" s="4" t="n">
        <v>12820301</v>
      </c>
      <c r="C181" s="4" t="s">
        <v>83</v>
      </c>
      <c r="D181" s="4" t="s">
        <v>12</v>
      </c>
      <c r="E181" s="4" t="n">
        <v>18</v>
      </c>
      <c r="F181" s="4" t="n">
        <v>1.66</v>
      </c>
      <c r="G181" s="4" t="n">
        <v>9</v>
      </c>
      <c r="H181" s="4" t="n">
        <v>0.85</v>
      </c>
      <c r="I181" s="4" t="n">
        <v>0.81</v>
      </c>
    </row>
    <row r="182" customFormat="false" ht="15" hidden="false" customHeight="true" outlineLevel="0" collapsed="false">
      <c r="A182" s="4" t="s">
        <v>140</v>
      </c>
      <c r="B182" s="4" t="n">
        <v>12820401</v>
      </c>
      <c r="C182" s="4" t="s">
        <v>85</v>
      </c>
      <c r="D182" s="4" t="s">
        <v>99</v>
      </c>
      <c r="E182" s="4" t="n">
        <v>305</v>
      </c>
      <c r="F182" s="4" t="n">
        <v>21.45</v>
      </c>
      <c r="G182" s="4" t="n">
        <v>301</v>
      </c>
      <c r="H182" s="4" t="n">
        <v>21.35</v>
      </c>
      <c r="I182" s="4" t="n">
        <v>0.1</v>
      </c>
    </row>
    <row r="183" customFormat="false" ht="15" hidden="false" customHeight="true" outlineLevel="0" collapsed="false">
      <c r="A183" s="4" t="s">
        <v>140</v>
      </c>
      <c r="B183" s="4" t="n">
        <v>12820401</v>
      </c>
      <c r="C183" s="4" t="s">
        <v>85</v>
      </c>
      <c r="D183" s="4" t="s">
        <v>101</v>
      </c>
      <c r="E183" s="4" t="n">
        <v>361</v>
      </c>
      <c r="F183" s="4" t="n">
        <v>25.39</v>
      </c>
      <c r="G183" s="4" t="n">
        <v>355</v>
      </c>
      <c r="H183" s="4" t="n">
        <v>25.18</v>
      </c>
      <c r="I183" s="4" t="n">
        <v>0.21</v>
      </c>
    </row>
    <row r="184" customFormat="false" ht="15" hidden="false" customHeight="true" outlineLevel="0" collapsed="false">
      <c r="A184" s="4" t="s">
        <v>140</v>
      </c>
      <c r="B184" s="4" t="n">
        <v>12820401</v>
      </c>
      <c r="C184" s="4" t="s">
        <v>85</v>
      </c>
      <c r="D184" s="4" t="s">
        <v>100</v>
      </c>
      <c r="E184" s="4" t="n">
        <v>401</v>
      </c>
      <c r="F184" s="4" t="n">
        <v>28.2</v>
      </c>
      <c r="G184" s="4" t="n">
        <v>495</v>
      </c>
      <c r="H184" s="4" t="n">
        <v>35.11</v>
      </c>
      <c r="I184" s="4" t="n">
        <v>-6.91</v>
      </c>
    </row>
    <row r="185" customFormat="false" ht="15" hidden="false" customHeight="true" outlineLevel="0" collapsed="false">
      <c r="A185" s="4" t="s">
        <v>140</v>
      </c>
      <c r="B185" s="4" t="n">
        <v>12820401</v>
      </c>
      <c r="C185" s="4" t="s">
        <v>85</v>
      </c>
      <c r="D185" s="4" t="s">
        <v>103</v>
      </c>
      <c r="E185" s="4" t="n">
        <v>41</v>
      </c>
      <c r="F185" s="4" t="n">
        <v>2.88</v>
      </c>
      <c r="G185" s="4" t="n">
        <v>26</v>
      </c>
      <c r="H185" s="4" t="n">
        <v>1.84</v>
      </c>
      <c r="I185" s="4" t="n">
        <v>1.04</v>
      </c>
    </row>
    <row r="186" customFormat="false" ht="15" hidden="false" customHeight="true" outlineLevel="0" collapsed="false">
      <c r="A186" s="4" t="s">
        <v>140</v>
      </c>
      <c r="B186" s="4" t="n">
        <v>12820401</v>
      </c>
      <c r="C186" s="4" t="s">
        <v>85</v>
      </c>
      <c r="D186" s="4" t="s">
        <v>102</v>
      </c>
      <c r="E186" s="4" t="n">
        <v>114</v>
      </c>
      <c r="F186" s="4" t="n">
        <v>8.02</v>
      </c>
      <c r="G186" s="4" t="n">
        <v>75</v>
      </c>
      <c r="H186" s="4" t="n">
        <v>5.32</v>
      </c>
      <c r="I186" s="4" t="n">
        <v>2.7</v>
      </c>
    </row>
    <row r="187" customFormat="false" ht="15" hidden="false" customHeight="true" outlineLevel="0" collapsed="false">
      <c r="A187" s="4" t="s">
        <v>140</v>
      </c>
      <c r="B187" s="4" t="n">
        <v>12820401</v>
      </c>
      <c r="C187" s="4" t="s">
        <v>85</v>
      </c>
      <c r="D187" s="4" t="s">
        <v>105</v>
      </c>
      <c r="E187" s="4" t="n">
        <v>62</v>
      </c>
      <c r="F187" s="4" t="n">
        <v>4.36</v>
      </c>
      <c r="G187" s="4" t="n">
        <v>57</v>
      </c>
      <c r="H187" s="4" t="n">
        <v>4.04</v>
      </c>
      <c r="I187" s="4" t="n">
        <v>0.32</v>
      </c>
    </row>
    <row r="188" customFormat="false" ht="15" hidden="false" customHeight="true" outlineLevel="0" collapsed="false">
      <c r="A188" s="4" t="s">
        <v>140</v>
      </c>
      <c r="B188" s="4" t="n">
        <v>12820401</v>
      </c>
      <c r="C188" s="4" t="s">
        <v>85</v>
      </c>
      <c r="D188" s="4" t="s">
        <v>104</v>
      </c>
      <c r="E188" s="4" t="n">
        <v>78</v>
      </c>
      <c r="F188" s="4" t="n">
        <v>5.49</v>
      </c>
      <c r="G188" s="4" t="n">
        <v>61</v>
      </c>
      <c r="H188" s="4" t="n">
        <v>4.33</v>
      </c>
      <c r="I188" s="4" t="n">
        <v>1.16</v>
      </c>
    </row>
    <row r="189" customFormat="false" ht="15" hidden="false" customHeight="true" outlineLevel="0" collapsed="false">
      <c r="A189" s="4" t="s">
        <v>140</v>
      </c>
      <c r="B189" s="4" t="n">
        <v>12820401</v>
      </c>
      <c r="C189" s="4" t="s">
        <v>85</v>
      </c>
      <c r="D189" s="4" t="s">
        <v>106</v>
      </c>
      <c r="E189" s="4" t="n">
        <v>41</v>
      </c>
      <c r="F189" s="4" t="n">
        <v>2.88</v>
      </c>
      <c r="G189" s="4" t="n">
        <v>33</v>
      </c>
      <c r="H189" s="4" t="n">
        <v>2.34</v>
      </c>
      <c r="I189" s="4" t="n">
        <v>0.54</v>
      </c>
    </row>
    <row r="190" customFormat="false" ht="15" hidden="false" customHeight="true" outlineLevel="0" collapsed="false">
      <c r="A190" s="4" t="s">
        <v>140</v>
      </c>
      <c r="B190" s="4" t="n">
        <v>12820401</v>
      </c>
      <c r="C190" s="4" t="s">
        <v>85</v>
      </c>
      <c r="D190" s="4" t="s">
        <v>12</v>
      </c>
      <c r="E190" s="4" t="n">
        <v>19</v>
      </c>
      <c r="F190" s="4" t="n">
        <v>1.34</v>
      </c>
      <c r="G190" s="4" t="n">
        <v>7</v>
      </c>
      <c r="H190" s="4" t="n">
        <v>0.5</v>
      </c>
      <c r="I190" s="4" t="n">
        <v>0.84</v>
      </c>
    </row>
    <row r="191" customFormat="false" ht="15" hidden="false" customHeight="true" outlineLevel="0" collapsed="false">
      <c r="A191" s="4" t="s">
        <v>140</v>
      </c>
      <c r="B191" s="4" t="n">
        <v>12820402</v>
      </c>
      <c r="C191" s="4" t="s">
        <v>87</v>
      </c>
      <c r="D191" s="4" t="s">
        <v>99</v>
      </c>
      <c r="E191" s="4" t="n">
        <v>338</v>
      </c>
      <c r="F191" s="4" t="n">
        <v>24.16</v>
      </c>
      <c r="G191" s="4" t="n">
        <v>345</v>
      </c>
      <c r="H191" s="4" t="n">
        <v>25.54</v>
      </c>
      <c r="I191" s="4" t="n">
        <v>-1.38</v>
      </c>
    </row>
    <row r="192" customFormat="false" ht="15" hidden="false" customHeight="true" outlineLevel="0" collapsed="false">
      <c r="A192" s="4" t="s">
        <v>140</v>
      </c>
      <c r="B192" s="4" t="n">
        <v>12820402</v>
      </c>
      <c r="C192" s="4" t="s">
        <v>87</v>
      </c>
      <c r="D192" s="4" t="s">
        <v>101</v>
      </c>
      <c r="E192" s="4" t="n">
        <v>334</v>
      </c>
      <c r="F192" s="4" t="n">
        <v>23.87</v>
      </c>
      <c r="G192" s="4" t="n">
        <v>317</v>
      </c>
      <c r="H192" s="4" t="n">
        <v>23.46</v>
      </c>
      <c r="I192" s="4" t="n">
        <v>0.41</v>
      </c>
    </row>
    <row r="193" customFormat="false" ht="15" hidden="false" customHeight="true" outlineLevel="0" collapsed="false">
      <c r="A193" s="4" t="s">
        <v>140</v>
      </c>
      <c r="B193" s="4" t="n">
        <v>12820402</v>
      </c>
      <c r="C193" s="4" t="s">
        <v>87</v>
      </c>
      <c r="D193" s="4" t="s">
        <v>100</v>
      </c>
      <c r="E193" s="4" t="n">
        <v>394</v>
      </c>
      <c r="F193" s="4" t="n">
        <v>28.16</v>
      </c>
      <c r="G193" s="4" t="n">
        <v>418</v>
      </c>
      <c r="H193" s="4" t="n">
        <v>30.94</v>
      </c>
      <c r="I193" s="4" t="n">
        <v>-2.78</v>
      </c>
    </row>
    <row r="194" customFormat="false" ht="15" hidden="false" customHeight="true" outlineLevel="0" collapsed="false">
      <c r="A194" s="4" t="s">
        <v>140</v>
      </c>
      <c r="B194" s="4" t="n">
        <v>12820402</v>
      </c>
      <c r="C194" s="4" t="s">
        <v>87</v>
      </c>
      <c r="D194" s="4" t="s">
        <v>103</v>
      </c>
      <c r="E194" s="4" t="n">
        <v>38</v>
      </c>
      <c r="F194" s="4" t="n">
        <v>2.72</v>
      </c>
      <c r="G194" s="4" t="n">
        <v>23</v>
      </c>
      <c r="H194" s="4" t="n">
        <v>1.7</v>
      </c>
      <c r="I194" s="4" t="n">
        <v>1.01</v>
      </c>
    </row>
    <row r="195" customFormat="false" ht="15" hidden="false" customHeight="true" outlineLevel="0" collapsed="false">
      <c r="A195" s="4" t="s">
        <v>140</v>
      </c>
      <c r="B195" s="4" t="n">
        <v>12820402</v>
      </c>
      <c r="C195" s="4" t="s">
        <v>87</v>
      </c>
      <c r="D195" s="4" t="s">
        <v>102</v>
      </c>
      <c r="E195" s="4" t="n">
        <v>113</v>
      </c>
      <c r="F195" s="4" t="n">
        <v>8.08</v>
      </c>
      <c r="G195" s="4" t="n">
        <v>87</v>
      </c>
      <c r="H195" s="4" t="n">
        <v>6.44</v>
      </c>
      <c r="I195" s="4" t="n">
        <v>1.64</v>
      </c>
    </row>
    <row r="196" customFormat="false" ht="15" hidden="false" customHeight="true" outlineLevel="0" collapsed="false">
      <c r="A196" s="4" t="s">
        <v>140</v>
      </c>
      <c r="B196" s="4" t="n">
        <v>12820402</v>
      </c>
      <c r="C196" s="4" t="s">
        <v>87</v>
      </c>
      <c r="D196" s="4" t="s">
        <v>105</v>
      </c>
      <c r="E196" s="4" t="n">
        <v>56</v>
      </c>
      <c r="F196" s="4" t="n">
        <v>4</v>
      </c>
      <c r="G196" s="4" t="n">
        <v>57</v>
      </c>
      <c r="H196" s="4" t="n">
        <v>4.22</v>
      </c>
      <c r="I196" s="4" t="n">
        <v>-0.22</v>
      </c>
    </row>
    <row r="197" customFormat="false" ht="15" hidden="false" customHeight="true" outlineLevel="0" collapsed="false">
      <c r="A197" s="4" t="s">
        <v>140</v>
      </c>
      <c r="B197" s="4" t="n">
        <v>12820402</v>
      </c>
      <c r="C197" s="4" t="s">
        <v>87</v>
      </c>
      <c r="D197" s="4" t="s">
        <v>104</v>
      </c>
      <c r="E197" s="4" t="n">
        <v>84</v>
      </c>
      <c r="F197" s="4" t="n">
        <v>6</v>
      </c>
      <c r="G197" s="4" t="n">
        <v>72</v>
      </c>
      <c r="H197" s="4" t="n">
        <v>5.33</v>
      </c>
      <c r="I197" s="4" t="n">
        <v>0.67</v>
      </c>
    </row>
    <row r="198" customFormat="false" ht="15" hidden="false" customHeight="true" outlineLevel="0" collapsed="false">
      <c r="A198" s="4" t="s">
        <v>140</v>
      </c>
      <c r="B198" s="4" t="n">
        <v>12820402</v>
      </c>
      <c r="C198" s="4" t="s">
        <v>87</v>
      </c>
      <c r="D198" s="4" t="s">
        <v>106</v>
      </c>
      <c r="E198" s="4" t="n">
        <v>27</v>
      </c>
      <c r="F198" s="4" t="n">
        <v>1.93</v>
      </c>
      <c r="G198" s="4" t="n">
        <v>22</v>
      </c>
      <c r="H198" s="4" t="n">
        <v>1.63</v>
      </c>
      <c r="I198" s="4" t="n">
        <v>0.3</v>
      </c>
    </row>
    <row r="199" customFormat="false" ht="15" hidden="false" customHeight="true" outlineLevel="0" collapsed="false">
      <c r="A199" s="4" t="s">
        <v>140</v>
      </c>
      <c r="B199" s="4" t="n">
        <v>12820402</v>
      </c>
      <c r="C199" s="4" t="s">
        <v>87</v>
      </c>
      <c r="D199" s="4" t="s">
        <v>12</v>
      </c>
      <c r="E199" s="4" t="n">
        <v>15</v>
      </c>
      <c r="F199" s="4" t="n">
        <v>1.07</v>
      </c>
      <c r="G199" s="4" t="n">
        <v>10</v>
      </c>
      <c r="H199" s="4" t="n">
        <v>0.74</v>
      </c>
      <c r="I199" s="4" t="n">
        <v>0.33</v>
      </c>
    </row>
    <row r="200" customFormat="false" ht="15" hidden="false" customHeight="true" outlineLevel="0" collapsed="false">
      <c r="A200" s="4" t="s">
        <v>140</v>
      </c>
      <c r="B200" s="4" t="n">
        <v>12820501</v>
      </c>
      <c r="C200" s="4" t="s">
        <v>89</v>
      </c>
      <c r="D200" s="4" t="s">
        <v>99</v>
      </c>
      <c r="E200" s="4" t="n">
        <v>292</v>
      </c>
      <c r="F200" s="4" t="n">
        <v>21.01</v>
      </c>
      <c r="G200" s="4" t="n">
        <v>309</v>
      </c>
      <c r="H200" s="4" t="n">
        <v>21.85</v>
      </c>
      <c r="I200" s="4" t="n">
        <v>-0.85</v>
      </c>
    </row>
    <row r="201" customFormat="false" ht="15" hidden="false" customHeight="true" outlineLevel="0" collapsed="false">
      <c r="A201" s="4" t="s">
        <v>140</v>
      </c>
      <c r="B201" s="4" t="n">
        <v>12820501</v>
      </c>
      <c r="C201" s="4" t="s">
        <v>89</v>
      </c>
      <c r="D201" s="4" t="s">
        <v>101</v>
      </c>
      <c r="E201" s="4" t="n">
        <v>307</v>
      </c>
      <c r="F201" s="4" t="n">
        <v>22.09</v>
      </c>
      <c r="G201" s="4" t="n">
        <v>331</v>
      </c>
      <c r="H201" s="4" t="n">
        <v>23.41</v>
      </c>
      <c r="I201" s="4" t="n">
        <v>-1.32</v>
      </c>
    </row>
    <row r="202" customFormat="false" ht="15" hidden="false" customHeight="true" outlineLevel="0" collapsed="false">
      <c r="A202" s="4" t="s">
        <v>140</v>
      </c>
      <c r="B202" s="4" t="n">
        <v>12820501</v>
      </c>
      <c r="C202" s="4" t="s">
        <v>89</v>
      </c>
      <c r="D202" s="4" t="s">
        <v>100</v>
      </c>
      <c r="E202" s="4" t="n">
        <v>441</v>
      </c>
      <c r="F202" s="4" t="n">
        <v>31.73</v>
      </c>
      <c r="G202" s="4" t="n">
        <v>504</v>
      </c>
      <c r="H202" s="4" t="n">
        <v>35.64</v>
      </c>
      <c r="I202" s="4" t="n">
        <v>-3.92</v>
      </c>
    </row>
    <row r="203" customFormat="false" ht="15" hidden="false" customHeight="true" outlineLevel="0" collapsed="false">
      <c r="A203" s="4" t="s">
        <v>140</v>
      </c>
      <c r="B203" s="4" t="n">
        <v>12820501</v>
      </c>
      <c r="C203" s="4" t="s">
        <v>89</v>
      </c>
      <c r="D203" s="4" t="s">
        <v>103</v>
      </c>
      <c r="E203" s="4" t="n">
        <v>57</v>
      </c>
      <c r="F203" s="4" t="n">
        <v>4.1</v>
      </c>
      <c r="G203" s="4" t="n">
        <v>38</v>
      </c>
      <c r="H203" s="4" t="n">
        <v>2.69</v>
      </c>
      <c r="I203" s="4" t="n">
        <v>1.41</v>
      </c>
    </row>
    <row r="204" customFormat="false" ht="15" hidden="false" customHeight="true" outlineLevel="0" collapsed="false">
      <c r="A204" s="4" t="s">
        <v>140</v>
      </c>
      <c r="B204" s="4" t="n">
        <v>12820501</v>
      </c>
      <c r="C204" s="4" t="s">
        <v>89</v>
      </c>
      <c r="D204" s="4" t="s">
        <v>102</v>
      </c>
      <c r="E204" s="4" t="n">
        <v>116</v>
      </c>
      <c r="F204" s="4" t="n">
        <v>8.35</v>
      </c>
      <c r="G204" s="4" t="n">
        <v>60</v>
      </c>
      <c r="H204" s="4" t="n">
        <v>4.24</v>
      </c>
      <c r="I204" s="4" t="n">
        <v>4.1</v>
      </c>
    </row>
    <row r="205" customFormat="false" ht="15" hidden="false" customHeight="true" outlineLevel="0" collapsed="false">
      <c r="A205" s="4" t="s">
        <v>140</v>
      </c>
      <c r="B205" s="4" t="n">
        <v>12820501</v>
      </c>
      <c r="C205" s="4" t="s">
        <v>89</v>
      </c>
      <c r="D205" s="4" t="s">
        <v>105</v>
      </c>
      <c r="E205" s="4" t="n">
        <v>58</v>
      </c>
      <c r="F205" s="4" t="n">
        <v>4.17</v>
      </c>
      <c r="G205" s="4" t="n">
        <v>58</v>
      </c>
      <c r="H205" s="4" t="n">
        <v>4.1</v>
      </c>
      <c r="I205" s="4" t="n">
        <v>0.07</v>
      </c>
    </row>
    <row r="206" customFormat="false" ht="15" hidden="false" customHeight="true" outlineLevel="0" collapsed="false">
      <c r="A206" s="4" t="s">
        <v>140</v>
      </c>
      <c r="B206" s="4" t="n">
        <v>12820501</v>
      </c>
      <c r="C206" s="4" t="s">
        <v>89</v>
      </c>
      <c r="D206" s="4" t="s">
        <v>104</v>
      </c>
      <c r="E206" s="4" t="n">
        <v>69</v>
      </c>
      <c r="F206" s="4" t="n">
        <v>4.96</v>
      </c>
      <c r="G206" s="4" t="n">
        <v>59</v>
      </c>
      <c r="H206" s="4" t="n">
        <v>4.17</v>
      </c>
      <c r="I206" s="4" t="n">
        <v>0.79</v>
      </c>
    </row>
    <row r="207" customFormat="false" ht="15" hidden="false" customHeight="true" outlineLevel="0" collapsed="false">
      <c r="A207" s="4" t="s">
        <v>140</v>
      </c>
      <c r="B207" s="4" t="n">
        <v>12820501</v>
      </c>
      <c r="C207" s="4" t="s">
        <v>89</v>
      </c>
      <c r="D207" s="4" t="s">
        <v>106</v>
      </c>
      <c r="E207" s="4" t="n">
        <v>35</v>
      </c>
      <c r="F207" s="4" t="n">
        <v>2.52</v>
      </c>
      <c r="G207" s="4" t="n">
        <v>33</v>
      </c>
      <c r="H207" s="4" t="n">
        <v>2.33</v>
      </c>
      <c r="I207" s="4" t="n">
        <v>0.18</v>
      </c>
    </row>
    <row r="208" customFormat="false" ht="15" hidden="false" customHeight="true" outlineLevel="0" collapsed="false">
      <c r="A208" s="4" t="s">
        <v>140</v>
      </c>
      <c r="B208" s="4" t="n">
        <v>12820501</v>
      </c>
      <c r="C208" s="4" t="s">
        <v>89</v>
      </c>
      <c r="D208" s="4" t="s">
        <v>12</v>
      </c>
      <c r="E208" s="4" t="n">
        <v>15</v>
      </c>
      <c r="F208" s="4" t="n">
        <v>1.08</v>
      </c>
      <c r="G208" s="4" t="n">
        <v>22</v>
      </c>
      <c r="H208" s="4" t="n">
        <v>1.56</v>
      </c>
      <c r="I208" s="4" t="n">
        <v>-0.48</v>
      </c>
    </row>
    <row r="209" customFormat="false" ht="15" hidden="false" customHeight="true" outlineLevel="0" collapsed="false">
      <c r="A209" s="4" t="s">
        <v>140</v>
      </c>
      <c r="B209" s="4" t="n">
        <v>12820801</v>
      </c>
      <c r="C209" s="4" t="s">
        <v>91</v>
      </c>
      <c r="D209" s="4" t="s">
        <v>99</v>
      </c>
      <c r="E209" s="4" t="n">
        <v>190</v>
      </c>
      <c r="F209" s="4" t="n">
        <v>23.84</v>
      </c>
      <c r="G209" s="4" t="n">
        <v>217</v>
      </c>
      <c r="H209" s="4" t="n">
        <v>27.43</v>
      </c>
      <c r="I209" s="4" t="n">
        <v>-3.59</v>
      </c>
    </row>
    <row r="210" customFormat="false" ht="15" hidden="false" customHeight="true" outlineLevel="0" collapsed="false">
      <c r="A210" s="4" t="s">
        <v>140</v>
      </c>
      <c r="B210" s="4" t="n">
        <v>12820801</v>
      </c>
      <c r="C210" s="4" t="s">
        <v>91</v>
      </c>
      <c r="D210" s="4" t="s">
        <v>101</v>
      </c>
      <c r="E210" s="4" t="n">
        <v>137</v>
      </c>
      <c r="F210" s="4" t="n">
        <v>17.19</v>
      </c>
      <c r="G210" s="4" t="n">
        <v>134</v>
      </c>
      <c r="H210" s="4" t="n">
        <v>16.94</v>
      </c>
      <c r="I210" s="4" t="n">
        <v>0.25</v>
      </c>
    </row>
    <row r="211" customFormat="false" ht="15" hidden="false" customHeight="true" outlineLevel="0" collapsed="false">
      <c r="A211" s="4" t="s">
        <v>140</v>
      </c>
      <c r="B211" s="4" t="n">
        <v>12820801</v>
      </c>
      <c r="C211" s="4" t="s">
        <v>91</v>
      </c>
      <c r="D211" s="4" t="s">
        <v>100</v>
      </c>
      <c r="E211" s="4" t="n">
        <v>226</v>
      </c>
      <c r="F211" s="4" t="n">
        <v>28.36</v>
      </c>
      <c r="G211" s="4" t="n">
        <v>279</v>
      </c>
      <c r="H211" s="4" t="n">
        <v>35.27</v>
      </c>
      <c r="I211" s="4" t="n">
        <v>-6.92</v>
      </c>
    </row>
    <row r="212" customFormat="false" ht="15" hidden="false" customHeight="true" outlineLevel="0" collapsed="false">
      <c r="A212" s="4" t="s">
        <v>140</v>
      </c>
      <c r="B212" s="4" t="n">
        <v>12820801</v>
      </c>
      <c r="C212" s="4" t="s">
        <v>91</v>
      </c>
      <c r="D212" s="4" t="s">
        <v>103</v>
      </c>
      <c r="E212" s="4" t="n">
        <v>68</v>
      </c>
      <c r="F212" s="4" t="n">
        <v>8.53</v>
      </c>
      <c r="G212" s="4" t="n">
        <v>22</v>
      </c>
      <c r="H212" s="4" t="n">
        <v>2.78</v>
      </c>
      <c r="I212" s="4" t="n">
        <v>5.75</v>
      </c>
    </row>
    <row r="213" customFormat="false" ht="15" hidden="false" customHeight="true" outlineLevel="0" collapsed="false">
      <c r="A213" s="4" t="s">
        <v>140</v>
      </c>
      <c r="B213" s="4" t="n">
        <v>12820801</v>
      </c>
      <c r="C213" s="4" t="s">
        <v>91</v>
      </c>
      <c r="D213" s="4" t="s">
        <v>102</v>
      </c>
      <c r="E213" s="4" t="n">
        <v>65</v>
      </c>
      <c r="F213" s="4" t="n">
        <v>8.16</v>
      </c>
      <c r="G213" s="4" t="n">
        <v>43</v>
      </c>
      <c r="H213" s="4" t="n">
        <v>5.44</v>
      </c>
      <c r="I213" s="4" t="n">
        <v>2.72</v>
      </c>
    </row>
    <row r="214" customFormat="false" ht="15" hidden="false" customHeight="true" outlineLevel="0" collapsed="false">
      <c r="A214" s="4" t="s">
        <v>140</v>
      </c>
      <c r="B214" s="4" t="n">
        <v>12820801</v>
      </c>
      <c r="C214" s="4" t="s">
        <v>91</v>
      </c>
      <c r="D214" s="4" t="s">
        <v>105</v>
      </c>
      <c r="E214" s="4" t="n">
        <v>39</v>
      </c>
      <c r="F214" s="4" t="n">
        <v>4.89</v>
      </c>
      <c r="G214" s="4" t="n">
        <v>31</v>
      </c>
      <c r="H214" s="4" t="n">
        <v>3.92</v>
      </c>
      <c r="I214" s="4" t="n">
        <v>0.97</v>
      </c>
    </row>
    <row r="215" customFormat="false" ht="15" hidden="false" customHeight="true" outlineLevel="0" collapsed="false">
      <c r="A215" s="4" t="s">
        <v>140</v>
      </c>
      <c r="B215" s="4" t="n">
        <v>12820801</v>
      </c>
      <c r="C215" s="4" t="s">
        <v>91</v>
      </c>
      <c r="D215" s="4" t="s">
        <v>104</v>
      </c>
      <c r="E215" s="4" t="n">
        <v>40</v>
      </c>
      <c r="F215" s="4" t="n">
        <v>5.02</v>
      </c>
      <c r="G215" s="4" t="n">
        <v>29</v>
      </c>
      <c r="H215" s="4" t="n">
        <v>3.67</v>
      </c>
      <c r="I215" s="4" t="n">
        <v>1.35</v>
      </c>
    </row>
    <row r="216" customFormat="false" ht="15" hidden="false" customHeight="true" outlineLevel="0" collapsed="false">
      <c r="A216" s="4" t="s">
        <v>140</v>
      </c>
      <c r="B216" s="4" t="n">
        <v>12820801</v>
      </c>
      <c r="C216" s="4" t="s">
        <v>91</v>
      </c>
      <c r="D216" s="4" t="s">
        <v>106</v>
      </c>
      <c r="E216" s="4" t="n">
        <v>21</v>
      </c>
      <c r="F216" s="4" t="n">
        <v>2.63</v>
      </c>
      <c r="G216" s="4" t="n">
        <v>26</v>
      </c>
      <c r="H216" s="4" t="n">
        <v>3.29</v>
      </c>
      <c r="I216" s="4" t="n">
        <v>-0.65</v>
      </c>
    </row>
    <row r="217" customFormat="false" ht="15" hidden="false" customHeight="true" outlineLevel="0" collapsed="false">
      <c r="A217" s="4" t="s">
        <v>140</v>
      </c>
      <c r="B217" s="4" t="n">
        <v>12820801</v>
      </c>
      <c r="C217" s="4" t="s">
        <v>91</v>
      </c>
      <c r="D217" s="4" t="s">
        <v>12</v>
      </c>
      <c r="E217" s="4" t="n">
        <v>11</v>
      </c>
      <c r="F217" s="4" t="n">
        <v>1.38</v>
      </c>
      <c r="G217" s="4" t="n">
        <v>10</v>
      </c>
      <c r="H217" s="4" t="n">
        <v>1.26</v>
      </c>
      <c r="I217" s="4" t="n">
        <v>0.12</v>
      </c>
    </row>
    <row r="218" customFormat="false" ht="15" hidden="false" customHeight="true" outlineLevel="0" collapsed="false">
      <c r="A218" s="4" t="s">
        <v>140</v>
      </c>
      <c r="B218" s="4" t="n">
        <v>12820802</v>
      </c>
      <c r="C218" s="4" t="s">
        <v>93</v>
      </c>
      <c r="D218" s="4" t="s">
        <v>99</v>
      </c>
      <c r="E218" s="4" t="n">
        <v>223</v>
      </c>
      <c r="F218" s="4" t="n">
        <v>20.96</v>
      </c>
      <c r="G218" s="4" t="n">
        <v>252</v>
      </c>
      <c r="H218" s="4" t="n">
        <v>24.25</v>
      </c>
      <c r="I218" s="4" t="n">
        <v>-3.3</v>
      </c>
    </row>
    <row r="219" customFormat="false" ht="15" hidden="false" customHeight="true" outlineLevel="0" collapsed="false">
      <c r="A219" s="4" t="s">
        <v>140</v>
      </c>
      <c r="B219" s="4" t="n">
        <v>12820802</v>
      </c>
      <c r="C219" s="4" t="s">
        <v>93</v>
      </c>
      <c r="D219" s="4" t="s">
        <v>101</v>
      </c>
      <c r="E219" s="4" t="n">
        <v>301</v>
      </c>
      <c r="F219" s="4" t="n">
        <v>28.29</v>
      </c>
      <c r="G219" s="4" t="n">
        <v>270</v>
      </c>
      <c r="H219" s="4" t="n">
        <v>25.99</v>
      </c>
      <c r="I219" s="4" t="n">
        <v>2.3</v>
      </c>
    </row>
    <row r="220" customFormat="false" ht="15" hidden="false" customHeight="true" outlineLevel="0" collapsed="false">
      <c r="A220" s="4" t="s">
        <v>140</v>
      </c>
      <c r="B220" s="4" t="n">
        <v>12820802</v>
      </c>
      <c r="C220" s="4" t="s">
        <v>93</v>
      </c>
      <c r="D220" s="4" t="s">
        <v>100</v>
      </c>
      <c r="E220" s="4" t="n">
        <v>187</v>
      </c>
      <c r="F220" s="4" t="n">
        <v>17.58</v>
      </c>
      <c r="G220" s="4" t="n">
        <v>205</v>
      </c>
      <c r="H220" s="4" t="n">
        <v>19.73</v>
      </c>
      <c r="I220" s="4" t="n">
        <v>-2.16</v>
      </c>
    </row>
    <row r="221" customFormat="false" ht="15" hidden="false" customHeight="true" outlineLevel="0" collapsed="false">
      <c r="A221" s="4" t="s">
        <v>140</v>
      </c>
      <c r="B221" s="4" t="n">
        <v>12820802</v>
      </c>
      <c r="C221" s="4" t="s">
        <v>93</v>
      </c>
      <c r="D221" s="4" t="s">
        <v>103</v>
      </c>
      <c r="E221" s="4" t="n">
        <v>14</v>
      </c>
      <c r="F221" s="4" t="n">
        <v>1.32</v>
      </c>
      <c r="G221" s="4" t="n">
        <v>20</v>
      </c>
      <c r="H221" s="4" t="n">
        <v>1.92</v>
      </c>
      <c r="I221" s="4" t="n">
        <v>-0.61</v>
      </c>
    </row>
    <row r="222" customFormat="false" ht="15" hidden="false" customHeight="true" outlineLevel="0" collapsed="false">
      <c r="A222" s="4" t="s">
        <v>140</v>
      </c>
      <c r="B222" s="4" t="n">
        <v>12820802</v>
      </c>
      <c r="C222" s="4" t="s">
        <v>93</v>
      </c>
      <c r="D222" s="4" t="s">
        <v>102</v>
      </c>
      <c r="E222" s="4" t="n">
        <v>128</v>
      </c>
      <c r="F222" s="4" t="n">
        <v>12.03</v>
      </c>
      <c r="G222" s="4" t="n">
        <v>73</v>
      </c>
      <c r="H222" s="4" t="n">
        <v>7.03</v>
      </c>
      <c r="I222" s="4" t="n">
        <v>5</v>
      </c>
    </row>
    <row r="223" customFormat="false" ht="15" hidden="false" customHeight="true" outlineLevel="0" collapsed="false">
      <c r="A223" s="4" t="s">
        <v>140</v>
      </c>
      <c r="B223" s="4" t="n">
        <v>12820802</v>
      </c>
      <c r="C223" s="4" t="s">
        <v>93</v>
      </c>
      <c r="D223" s="4" t="s">
        <v>105</v>
      </c>
      <c r="E223" s="4" t="n">
        <v>83</v>
      </c>
      <c r="F223" s="4" t="n">
        <v>7.8</v>
      </c>
      <c r="G223" s="4" t="n">
        <v>86</v>
      </c>
      <c r="H223" s="4" t="n">
        <v>8.28</v>
      </c>
      <c r="I223" s="4" t="n">
        <v>-0.48</v>
      </c>
    </row>
    <row r="224" customFormat="false" ht="15" hidden="false" customHeight="true" outlineLevel="0" collapsed="false">
      <c r="A224" s="4" t="s">
        <v>140</v>
      </c>
      <c r="B224" s="4" t="n">
        <v>12820802</v>
      </c>
      <c r="C224" s="4" t="s">
        <v>93</v>
      </c>
      <c r="D224" s="4" t="s">
        <v>104</v>
      </c>
      <c r="E224" s="4" t="n">
        <v>52</v>
      </c>
      <c r="F224" s="4" t="n">
        <v>4.89</v>
      </c>
      <c r="G224" s="4" t="n">
        <v>75</v>
      </c>
      <c r="H224" s="4" t="n">
        <v>7.22</v>
      </c>
      <c r="I224" s="4" t="n">
        <v>-2.33</v>
      </c>
    </row>
    <row r="225" customFormat="false" ht="15" hidden="false" customHeight="true" outlineLevel="0" collapsed="false">
      <c r="A225" s="4" t="s">
        <v>140</v>
      </c>
      <c r="B225" s="4" t="n">
        <v>12820802</v>
      </c>
      <c r="C225" s="4" t="s">
        <v>93</v>
      </c>
      <c r="D225" s="4" t="s">
        <v>106</v>
      </c>
      <c r="E225" s="4" t="n">
        <v>63</v>
      </c>
      <c r="F225" s="4" t="n">
        <v>5.92</v>
      </c>
      <c r="G225" s="4" t="n">
        <v>49</v>
      </c>
      <c r="H225" s="4" t="n">
        <v>4.72</v>
      </c>
      <c r="I225" s="4" t="n">
        <v>1.2</v>
      </c>
    </row>
    <row r="226" customFormat="false" ht="15" hidden="false" customHeight="true" outlineLevel="0" collapsed="false">
      <c r="A226" s="4" t="s">
        <v>140</v>
      </c>
      <c r="B226" s="4" t="n">
        <v>12820802</v>
      </c>
      <c r="C226" s="4" t="s">
        <v>93</v>
      </c>
      <c r="D226" s="4" t="s">
        <v>12</v>
      </c>
      <c r="E226" s="4" t="n">
        <v>13</v>
      </c>
      <c r="F226" s="4" t="n">
        <v>1.22</v>
      </c>
      <c r="G226" s="4" t="n">
        <v>9</v>
      </c>
      <c r="H226" s="4" t="n">
        <v>0.87</v>
      </c>
      <c r="I226" s="4" t="n">
        <v>0.36</v>
      </c>
    </row>
    <row r="227" customFormat="false" ht="15" hidden="false" customHeight="true" outlineLevel="0" collapsed="false">
      <c r="A227" s="4" t="s">
        <v>140</v>
      </c>
      <c r="B227" s="4" t="n">
        <v>12820803</v>
      </c>
      <c r="C227" s="4" t="s">
        <v>95</v>
      </c>
      <c r="D227" s="4" t="s">
        <v>99</v>
      </c>
      <c r="E227" s="4" t="n">
        <v>168</v>
      </c>
      <c r="F227" s="4" t="n">
        <v>19.29</v>
      </c>
      <c r="G227" s="4" t="n">
        <v>204</v>
      </c>
      <c r="H227" s="4" t="n">
        <v>23.64</v>
      </c>
      <c r="I227" s="4" t="n">
        <v>-4.35</v>
      </c>
    </row>
    <row r="228" customFormat="false" ht="15" hidden="false" customHeight="true" outlineLevel="0" collapsed="false">
      <c r="A228" s="4" t="s">
        <v>140</v>
      </c>
      <c r="B228" s="4" t="n">
        <v>12820803</v>
      </c>
      <c r="C228" s="4" t="s">
        <v>95</v>
      </c>
      <c r="D228" s="4" t="s">
        <v>101</v>
      </c>
      <c r="E228" s="4" t="n">
        <v>232</v>
      </c>
      <c r="F228" s="4" t="n">
        <v>26.64</v>
      </c>
      <c r="G228" s="4" t="n">
        <v>217</v>
      </c>
      <c r="H228" s="4" t="n">
        <v>25.14</v>
      </c>
      <c r="I228" s="4" t="n">
        <v>1.49</v>
      </c>
    </row>
    <row r="229" customFormat="false" ht="15" hidden="false" customHeight="true" outlineLevel="0" collapsed="false">
      <c r="A229" s="4" t="s">
        <v>140</v>
      </c>
      <c r="B229" s="4" t="n">
        <v>12820803</v>
      </c>
      <c r="C229" s="4" t="s">
        <v>95</v>
      </c>
      <c r="D229" s="4" t="s">
        <v>100</v>
      </c>
      <c r="E229" s="4" t="n">
        <v>161</v>
      </c>
      <c r="F229" s="4" t="n">
        <v>18.48</v>
      </c>
      <c r="G229" s="4" t="n">
        <v>190</v>
      </c>
      <c r="H229" s="4" t="n">
        <v>22.02</v>
      </c>
      <c r="I229" s="4" t="n">
        <v>-3.53</v>
      </c>
    </row>
    <row r="230" customFormat="false" ht="15" hidden="false" customHeight="true" outlineLevel="0" collapsed="false">
      <c r="A230" s="4" t="s">
        <v>140</v>
      </c>
      <c r="B230" s="4" t="n">
        <v>12820803</v>
      </c>
      <c r="C230" s="4" t="s">
        <v>95</v>
      </c>
      <c r="D230" s="4" t="s">
        <v>103</v>
      </c>
      <c r="E230" s="4" t="n">
        <v>17</v>
      </c>
      <c r="F230" s="4" t="n">
        <v>1.95</v>
      </c>
      <c r="G230" s="4" t="n">
        <v>23</v>
      </c>
      <c r="H230" s="4" t="n">
        <v>2.67</v>
      </c>
      <c r="I230" s="4" t="n">
        <v>-0.71</v>
      </c>
    </row>
    <row r="231" customFormat="false" ht="15" hidden="false" customHeight="true" outlineLevel="0" collapsed="false">
      <c r="A231" s="4" t="s">
        <v>140</v>
      </c>
      <c r="B231" s="4" t="n">
        <v>12820803</v>
      </c>
      <c r="C231" s="4" t="s">
        <v>95</v>
      </c>
      <c r="D231" s="4" t="s">
        <v>102</v>
      </c>
      <c r="E231" s="4" t="n">
        <v>102</v>
      </c>
      <c r="F231" s="4" t="n">
        <v>11.71</v>
      </c>
      <c r="G231" s="4" t="n">
        <v>74</v>
      </c>
      <c r="H231" s="4" t="n">
        <v>8.57</v>
      </c>
      <c r="I231" s="4" t="n">
        <v>3.14</v>
      </c>
    </row>
    <row r="232" customFormat="false" ht="15" hidden="false" customHeight="true" outlineLevel="0" collapsed="false">
      <c r="A232" s="4" t="s">
        <v>140</v>
      </c>
      <c r="B232" s="4" t="n">
        <v>12820803</v>
      </c>
      <c r="C232" s="4" t="s">
        <v>95</v>
      </c>
      <c r="D232" s="4" t="s">
        <v>105</v>
      </c>
      <c r="E232" s="4" t="n">
        <v>82</v>
      </c>
      <c r="F232" s="4" t="n">
        <v>9.41</v>
      </c>
      <c r="G232" s="4" t="n">
        <v>70</v>
      </c>
      <c r="H232" s="4" t="n">
        <v>8.11</v>
      </c>
      <c r="I232" s="4" t="n">
        <v>1.3</v>
      </c>
    </row>
    <row r="233" customFormat="false" ht="15" hidden="false" customHeight="true" outlineLevel="0" collapsed="false">
      <c r="A233" s="4" t="s">
        <v>140</v>
      </c>
      <c r="B233" s="4" t="n">
        <v>12820803</v>
      </c>
      <c r="C233" s="4" t="s">
        <v>95</v>
      </c>
      <c r="D233" s="4" t="s">
        <v>104</v>
      </c>
      <c r="E233" s="4" t="n">
        <v>57</v>
      </c>
      <c r="F233" s="4" t="n">
        <v>6.54</v>
      </c>
      <c r="G233" s="4" t="n">
        <v>46</v>
      </c>
      <c r="H233" s="4" t="n">
        <v>5.33</v>
      </c>
      <c r="I233" s="4" t="n">
        <v>1.21</v>
      </c>
    </row>
    <row r="234" customFormat="false" ht="15" hidden="false" customHeight="true" outlineLevel="0" collapsed="false">
      <c r="A234" s="4" t="s">
        <v>140</v>
      </c>
      <c r="B234" s="4" t="n">
        <v>12820803</v>
      </c>
      <c r="C234" s="4" t="s">
        <v>95</v>
      </c>
      <c r="D234" s="4" t="s">
        <v>106</v>
      </c>
      <c r="E234" s="4" t="n">
        <v>45</v>
      </c>
      <c r="F234" s="4" t="n">
        <v>5.17</v>
      </c>
      <c r="G234" s="4" t="n">
        <v>35</v>
      </c>
      <c r="H234" s="4" t="n">
        <v>4.06</v>
      </c>
      <c r="I234" s="4" t="n">
        <v>1.11</v>
      </c>
    </row>
    <row r="235" customFormat="false" ht="15" hidden="false" customHeight="true" outlineLevel="0" collapsed="false">
      <c r="A235" s="4" t="s">
        <v>140</v>
      </c>
      <c r="B235" s="4" t="n">
        <v>12820803</v>
      </c>
      <c r="C235" s="4" t="s">
        <v>95</v>
      </c>
      <c r="D235" s="4" t="s">
        <v>12</v>
      </c>
      <c r="E235" s="4" t="n">
        <v>7</v>
      </c>
      <c r="F235" s="4" t="n">
        <v>0.8</v>
      </c>
      <c r="G235" s="4" t="n">
        <v>4</v>
      </c>
      <c r="H235" s="4" t="n">
        <v>0.46</v>
      </c>
      <c r="I235" s="4" t="n">
        <v>0.34</v>
      </c>
    </row>
    <row r="236" customFormat="false" ht="15" hidden="false" customHeight="true" outlineLevel="0" collapsed="false">
      <c r="A236" s="4" t="s">
        <v>140</v>
      </c>
      <c r="B236" s="4" t="n">
        <v>128200</v>
      </c>
      <c r="C236" s="4" t="s">
        <v>147</v>
      </c>
      <c r="D236" s="4" t="s">
        <v>99</v>
      </c>
      <c r="E236" s="4" t="n">
        <v>263</v>
      </c>
      <c r="F236" s="4" t="n">
        <v>28.13</v>
      </c>
      <c r="G236" s="4"/>
      <c r="H236" s="4"/>
      <c r="I236" s="4"/>
    </row>
    <row r="237" customFormat="false" ht="15" hidden="false" customHeight="true" outlineLevel="0" collapsed="false">
      <c r="A237" s="4" t="s">
        <v>140</v>
      </c>
      <c r="B237" s="4" t="n">
        <v>128200</v>
      </c>
      <c r="C237" s="4" t="s">
        <v>147</v>
      </c>
      <c r="D237" s="4" t="s">
        <v>101</v>
      </c>
      <c r="E237" s="4" t="n">
        <v>176</v>
      </c>
      <c r="F237" s="4" t="n">
        <v>18.82</v>
      </c>
      <c r="G237" s="4"/>
      <c r="H237" s="4"/>
      <c r="I237" s="4"/>
    </row>
    <row r="238" customFormat="false" ht="15" hidden="false" customHeight="true" outlineLevel="0" collapsed="false">
      <c r="A238" s="4" t="s">
        <v>140</v>
      </c>
      <c r="B238" s="4" t="n">
        <v>128200</v>
      </c>
      <c r="C238" s="4" t="s">
        <v>147</v>
      </c>
      <c r="D238" s="4" t="s">
        <v>100</v>
      </c>
      <c r="E238" s="4" t="n">
        <v>185</v>
      </c>
      <c r="F238" s="4" t="n">
        <v>19.79</v>
      </c>
      <c r="G238" s="4"/>
      <c r="H238" s="4"/>
      <c r="I238" s="4"/>
    </row>
    <row r="239" customFormat="false" ht="15" hidden="false" customHeight="true" outlineLevel="0" collapsed="false">
      <c r="A239" s="4" t="s">
        <v>140</v>
      </c>
      <c r="B239" s="4" t="n">
        <v>128200</v>
      </c>
      <c r="C239" s="4" t="s">
        <v>147</v>
      </c>
      <c r="D239" s="4" t="s">
        <v>103</v>
      </c>
      <c r="E239" s="4" t="n">
        <v>96</v>
      </c>
      <c r="F239" s="4" t="n">
        <v>10.27</v>
      </c>
      <c r="G239" s="4"/>
      <c r="H239" s="4"/>
      <c r="I239" s="4"/>
    </row>
    <row r="240" customFormat="false" ht="15" hidden="false" customHeight="true" outlineLevel="0" collapsed="false">
      <c r="A240" s="4" t="s">
        <v>140</v>
      </c>
      <c r="B240" s="4" t="n">
        <v>128200</v>
      </c>
      <c r="C240" s="4" t="s">
        <v>147</v>
      </c>
      <c r="D240" s="4" t="s">
        <v>102</v>
      </c>
      <c r="E240" s="4" t="n">
        <v>67</v>
      </c>
      <c r="F240" s="4" t="n">
        <v>7.17</v>
      </c>
      <c r="G240" s="4"/>
      <c r="H240" s="4"/>
      <c r="I240" s="4"/>
    </row>
    <row r="241" customFormat="false" ht="15" hidden="false" customHeight="true" outlineLevel="0" collapsed="false">
      <c r="A241" s="4" t="s">
        <v>140</v>
      </c>
      <c r="B241" s="4" t="n">
        <v>128200</v>
      </c>
      <c r="C241" s="4" t="s">
        <v>147</v>
      </c>
      <c r="D241" s="4" t="s">
        <v>105</v>
      </c>
      <c r="E241" s="4" t="n">
        <v>64</v>
      </c>
      <c r="F241" s="4" t="n">
        <v>6.84</v>
      </c>
      <c r="G241" s="4"/>
      <c r="H241" s="4"/>
      <c r="I241" s="4"/>
    </row>
    <row r="242" customFormat="false" ht="15" hidden="false" customHeight="true" outlineLevel="0" collapsed="false">
      <c r="A242" s="4" t="s">
        <v>140</v>
      </c>
      <c r="B242" s="4" t="n">
        <v>128200</v>
      </c>
      <c r="C242" s="4" t="s">
        <v>147</v>
      </c>
      <c r="D242" s="4" t="s">
        <v>104</v>
      </c>
      <c r="E242" s="4" t="n">
        <v>28</v>
      </c>
      <c r="F242" s="4" t="n">
        <v>2.99</v>
      </c>
      <c r="G242" s="4"/>
      <c r="H242" s="4"/>
      <c r="I242" s="4"/>
    </row>
    <row r="243" customFormat="false" ht="15" hidden="false" customHeight="true" outlineLevel="0" collapsed="false">
      <c r="A243" s="4" t="s">
        <v>140</v>
      </c>
      <c r="B243" s="4" t="n">
        <v>128200</v>
      </c>
      <c r="C243" s="4" t="s">
        <v>147</v>
      </c>
      <c r="D243" s="4" t="s">
        <v>106</v>
      </c>
      <c r="E243" s="4" t="n">
        <v>43</v>
      </c>
      <c r="F243" s="4" t="n">
        <v>4.6</v>
      </c>
      <c r="G243" s="4"/>
      <c r="H243" s="4"/>
      <c r="I243" s="4"/>
    </row>
    <row r="244" customFormat="false" ht="15" hidden="false" customHeight="true" outlineLevel="0" collapsed="false">
      <c r="A244" s="4" t="s">
        <v>140</v>
      </c>
      <c r="B244" s="4" t="n">
        <v>128200</v>
      </c>
      <c r="C244" s="4" t="s">
        <v>147</v>
      </c>
      <c r="D244" s="4" t="s">
        <v>12</v>
      </c>
      <c r="E244" s="4" t="n">
        <v>13</v>
      </c>
      <c r="F244" s="4" t="n">
        <v>1.39</v>
      </c>
      <c r="G244" s="4"/>
      <c r="H244" s="4"/>
      <c r="I244" s="4"/>
    </row>
    <row r="245" customFormat="false" ht="15" hidden="false" customHeight="true" outlineLevel="0" collapsed="false">
      <c r="A245" s="4" t="s">
        <v>158</v>
      </c>
      <c r="B245" s="4" t="n">
        <v>12820101</v>
      </c>
      <c r="C245" s="4" t="s">
        <v>45</v>
      </c>
      <c r="D245" s="4" t="s">
        <v>99</v>
      </c>
      <c r="E245" s="4" t="n">
        <v>335</v>
      </c>
      <c r="F245" s="4" t="n">
        <v>29.36</v>
      </c>
      <c r="G245" s="4" t="n">
        <v>339</v>
      </c>
      <c r="H245" s="4" t="n">
        <v>29.17</v>
      </c>
      <c r="I245" s="4" t="n">
        <v>0.19</v>
      </c>
    </row>
    <row r="246" customFormat="false" ht="15" hidden="false" customHeight="true" outlineLevel="0" collapsed="false">
      <c r="A246" s="4" t="s">
        <v>158</v>
      </c>
      <c r="B246" s="4" t="n">
        <v>12820101</v>
      </c>
      <c r="C246" s="4" t="s">
        <v>45</v>
      </c>
      <c r="D246" s="4" t="s">
        <v>101</v>
      </c>
      <c r="E246" s="4" t="n">
        <v>203</v>
      </c>
      <c r="F246" s="4" t="n">
        <v>17.79</v>
      </c>
      <c r="G246" s="4" t="n">
        <v>208</v>
      </c>
      <c r="H246" s="4" t="n">
        <v>17.9</v>
      </c>
      <c r="I246" s="4" t="n">
        <v>-0.11</v>
      </c>
    </row>
    <row r="247" customFormat="false" ht="15" hidden="false" customHeight="true" outlineLevel="0" collapsed="false">
      <c r="A247" s="4" t="s">
        <v>158</v>
      </c>
      <c r="B247" s="4" t="n">
        <v>12820101</v>
      </c>
      <c r="C247" s="4" t="s">
        <v>45</v>
      </c>
      <c r="D247" s="4" t="s">
        <v>100</v>
      </c>
      <c r="E247" s="4" t="n">
        <v>238</v>
      </c>
      <c r="F247" s="4" t="n">
        <v>20.86</v>
      </c>
      <c r="G247" s="4" t="n">
        <v>278</v>
      </c>
      <c r="H247" s="4" t="n">
        <v>23.92</v>
      </c>
      <c r="I247" s="4" t="n">
        <v>-3.07</v>
      </c>
    </row>
    <row r="248" customFormat="false" ht="15" hidden="false" customHeight="true" outlineLevel="0" collapsed="false">
      <c r="A248" s="4" t="s">
        <v>158</v>
      </c>
      <c r="B248" s="4" t="n">
        <v>12820101</v>
      </c>
      <c r="C248" s="4" t="s">
        <v>45</v>
      </c>
      <c r="D248" s="4" t="s">
        <v>103</v>
      </c>
      <c r="E248" s="4" t="n">
        <v>75</v>
      </c>
      <c r="F248" s="4" t="n">
        <v>6.57</v>
      </c>
      <c r="G248" s="4" t="n">
        <v>43</v>
      </c>
      <c r="H248" s="4" t="n">
        <v>3.7</v>
      </c>
      <c r="I248" s="4" t="n">
        <v>2.87</v>
      </c>
    </row>
    <row r="249" customFormat="false" ht="15" hidden="false" customHeight="true" outlineLevel="0" collapsed="false">
      <c r="A249" s="4" t="s">
        <v>158</v>
      </c>
      <c r="B249" s="4" t="n">
        <v>12820101</v>
      </c>
      <c r="C249" s="4" t="s">
        <v>45</v>
      </c>
      <c r="D249" s="4" t="s">
        <v>102</v>
      </c>
      <c r="E249" s="4" t="n">
        <v>153</v>
      </c>
      <c r="F249" s="4" t="n">
        <v>13.41</v>
      </c>
      <c r="G249" s="4" t="n">
        <v>149</v>
      </c>
      <c r="H249" s="4" t="n">
        <v>12.82</v>
      </c>
      <c r="I249" s="4" t="n">
        <v>0.59</v>
      </c>
    </row>
    <row r="250" customFormat="false" ht="15" hidden="false" customHeight="true" outlineLevel="0" collapsed="false">
      <c r="A250" s="4" t="s">
        <v>158</v>
      </c>
      <c r="B250" s="4" t="n">
        <v>12820101</v>
      </c>
      <c r="C250" s="4" t="s">
        <v>45</v>
      </c>
      <c r="D250" s="4" t="s">
        <v>105</v>
      </c>
      <c r="E250" s="4" t="n">
        <v>27</v>
      </c>
      <c r="F250" s="4" t="n">
        <v>2.37</v>
      </c>
      <c r="G250" s="4" t="n">
        <v>32</v>
      </c>
      <c r="H250" s="4" t="n">
        <v>2.75</v>
      </c>
      <c r="I250" s="4" t="n">
        <v>-0.39</v>
      </c>
    </row>
    <row r="251" customFormat="false" ht="15" hidden="false" customHeight="true" outlineLevel="0" collapsed="false">
      <c r="A251" s="4" t="s">
        <v>158</v>
      </c>
      <c r="B251" s="4" t="n">
        <v>12820101</v>
      </c>
      <c r="C251" s="4" t="s">
        <v>45</v>
      </c>
      <c r="D251" s="4" t="s">
        <v>104</v>
      </c>
      <c r="E251" s="4" t="n">
        <v>67</v>
      </c>
      <c r="F251" s="4" t="n">
        <v>5.87</v>
      </c>
      <c r="G251" s="4" t="n">
        <v>67</v>
      </c>
      <c r="H251" s="4" t="n">
        <v>5.77</v>
      </c>
      <c r="I251" s="4" t="n">
        <v>0.11</v>
      </c>
    </row>
    <row r="252" customFormat="false" ht="15" hidden="false" customHeight="true" outlineLevel="0" collapsed="false">
      <c r="A252" s="4" t="s">
        <v>158</v>
      </c>
      <c r="B252" s="4" t="n">
        <v>12820101</v>
      </c>
      <c r="C252" s="4" t="s">
        <v>45</v>
      </c>
      <c r="D252" s="4" t="s">
        <v>106</v>
      </c>
      <c r="E252" s="4" t="n">
        <v>31</v>
      </c>
      <c r="F252" s="4" t="n">
        <v>2.72</v>
      </c>
      <c r="G252" s="4" t="n">
        <v>29</v>
      </c>
      <c r="H252" s="4" t="n">
        <v>2.5</v>
      </c>
      <c r="I252" s="4" t="n">
        <v>0.22</v>
      </c>
    </row>
    <row r="253" customFormat="false" ht="15" hidden="false" customHeight="true" outlineLevel="0" collapsed="false">
      <c r="A253" s="4" t="s">
        <v>158</v>
      </c>
      <c r="B253" s="4" t="n">
        <v>12820101</v>
      </c>
      <c r="C253" s="4" t="s">
        <v>45</v>
      </c>
      <c r="D253" s="4" t="s">
        <v>12</v>
      </c>
      <c r="E253" s="4" t="n">
        <v>12</v>
      </c>
      <c r="F253" s="4" t="n">
        <v>1.05</v>
      </c>
      <c r="G253" s="4" t="n">
        <v>17</v>
      </c>
      <c r="H253" s="4" t="n">
        <v>1.46</v>
      </c>
      <c r="I253" s="4" t="n">
        <v>-0.41</v>
      </c>
    </row>
    <row r="254" customFormat="false" ht="15" hidden="false" customHeight="true" outlineLevel="0" collapsed="false">
      <c r="A254" s="4" t="s">
        <v>158</v>
      </c>
      <c r="B254" s="4" t="n">
        <v>12820102</v>
      </c>
      <c r="C254" s="4" t="s">
        <v>47</v>
      </c>
      <c r="D254" s="4" t="s">
        <v>99</v>
      </c>
      <c r="E254" s="4" t="n">
        <v>369</v>
      </c>
      <c r="F254" s="4" t="n">
        <v>33.01</v>
      </c>
      <c r="G254" s="4" t="n">
        <v>372</v>
      </c>
      <c r="H254" s="4" t="n">
        <v>34.93</v>
      </c>
      <c r="I254" s="4" t="n">
        <v>-1.92</v>
      </c>
    </row>
    <row r="255" customFormat="false" ht="15" hidden="false" customHeight="true" outlineLevel="0" collapsed="false">
      <c r="A255" s="4" t="s">
        <v>158</v>
      </c>
      <c r="B255" s="4" t="n">
        <v>12820102</v>
      </c>
      <c r="C255" s="4" t="s">
        <v>47</v>
      </c>
      <c r="D255" s="4" t="s">
        <v>101</v>
      </c>
      <c r="E255" s="4" t="n">
        <v>155</v>
      </c>
      <c r="F255" s="4" t="n">
        <v>13.86</v>
      </c>
      <c r="G255" s="4" t="n">
        <v>159</v>
      </c>
      <c r="H255" s="4" t="n">
        <v>14.93</v>
      </c>
      <c r="I255" s="4" t="n">
        <v>-1.07</v>
      </c>
    </row>
    <row r="256" customFormat="false" ht="15" hidden="false" customHeight="true" outlineLevel="0" collapsed="false">
      <c r="A256" s="4" t="s">
        <v>158</v>
      </c>
      <c r="B256" s="4" t="n">
        <v>12820102</v>
      </c>
      <c r="C256" s="4" t="s">
        <v>47</v>
      </c>
      <c r="D256" s="4" t="s">
        <v>100</v>
      </c>
      <c r="E256" s="4" t="n">
        <v>216</v>
      </c>
      <c r="F256" s="4" t="n">
        <v>19.32</v>
      </c>
      <c r="G256" s="4" t="n">
        <v>199</v>
      </c>
      <c r="H256" s="4" t="n">
        <v>18.69</v>
      </c>
      <c r="I256" s="4" t="n">
        <v>0.63</v>
      </c>
    </row>
    <row r="257" customFormat="false" ht="15" hidden="false" customHeight="true" outlineLevel="0" collapsed="false">
      <c r="A257" s="4" t="s">
        <v>158</v>
      </c>
      <c r="B257" s="4" t="n">
        <v>12820102</v>
      </c>
      <c r="C257" s="4" t="s">
        <v>47</v>
      </c>
      <c r="D257" s="4" t="s">
        <v>103</v>
      </c>
      <c r="E257" s="4" t="n">
        <v>128</v>
      </c>
      <c r="F257" s="4" t="n">
        <v>11.45</v>
      </c>
      <c r="G257" s="4" t="n">
        <v>94</v>
      </c>
      <c r="H257" s="4" t="n">
        <v>8.83</v>
      </c>
      <c r="I257" s="4" t="n">
        <v>2.62</v>
      </c>
    </row>
    <row r="258" customFormat="false" ht="15" hidden="false" customHeight="true" outlineLevel="0" collapsed="false">
      <c r="A258" s="4" t="s">
        <v>158</v>
      </c>
      <c r="B258" s="4" t="n">
        <v>12820102</v>
      </c>
      <c r="C258" s="4" t="s">
        <v>47</v>
      </c>
      <c r="D258" s="4" t="s">
        <v>102</v>
      </c>
      <c r="E258" s="4" t="n">
        <v>129</v>
      </c>
      <c r="F258" s="4" t="n">
        <v>11.54</v>
      </c>
      <c r="G258" s="4" t="n">
        <v>113</v>
      </c>
      <c r="H258" s="4" t="n">
        <v>10.61</v>
      </c>
      <c r="I258" s="4" t="n">
        <v>0.93</v>
      </c>
    </row>
    <row r="259" customFormat="false" ht="15" hidden="false" customHeight="true" outlineLevel="0" collapsed="false">
      <c r="A259" s="4" t="s">
        <v>158</v>
      </c>
      <c r="B259" s="4" t="n">
        <v>12820102</v>
      </c>
      <c r="C259" s="4" t="s">
        <v>47</v>
      </c>
      <c r="D259" s="4" t="s">
        <v>105</v>
      </c>
      <c r="E259" s="4" t="n">
        <v>20</v>
      </c>
      <c r="F259" s="4" t="n">
        <v>1.79</v>
      </c>
      <c r="G259" s="4" t="n">
        <v>11</v>
      </c>
      <c r="H259" s="4" t="n">
        <v>1.03</v>
      </c>
      <c r="I259" s="4" t="n">
        <v>0.76</v>
      </c>
    </row>
    <row r="260" customFormat="false" ht="15" hidden="false" customHeight="true" outlineLevel="0" collapsed="false">
      <c r="A260" s="4" t="s">
        <v>158</v>
      </c>
      <c r="B260" s="4" t="n">
        <v>12820102</v>
      </c>
      <c r="C260" s="4" t="s">
        <v>47</v>
      </c>
      <c r="D260" s="4" t="s">
        <v>104</v>
      </c>
      <c r="E260" s="4" t="n">
        <v>53</v>
      </c>
      <c r="F260" s="4" t="n">
        <v>4.74</v>
      </c>
      <c r="G260" s="4" t="n">
        <v>55</v>
      </c>
      <c r="H260" s="4" t="n">
        <v>5.16</v>
      </c>
      <c r="I260" s="4" t="n">
        <v>-0.42</v>
      </c>
    </row>
    <row r="261" customFormat="false" ht="15" hidden="false" customHeight="true" outlineLevel="0" collapsed="false">
      <c r="A261" s="4" t="s">
        <v>158</v>
      </c>
      <c r="B261" s="4" t="n">
        <v>12820102</v>
      </c>
      <c r="C261" s="4" t="s">
        <v>47</v>
      </c>
      <c r="D261" s="4" t="s">
        <v>106</v>
      </c>
      <c r="E261" s="4" t="n">
        <v>42</v>
      </c>
      <c r="F261" s="4" t="n">
        <v>3.76</v>
      </c>
      <c r="G261" s="4" t="n">
        <v>32</v>
      </c>
      <c r="H261" s="4" t="n">
        <v>3</v>
      </c>
      <c r="I261" s="4" t="n">
        <v>0.75</v>
      </c>
    </row>
    <row r="262" customFormat="false" ht="15" hidden="false" customHeight="true" outlineLevel="0" collapsed="false">
      <c r="A262" s="4" t="s">
        <v>158</v>
      </c>
      <c r="B262" s="4" t="n">
        <v>12820102</v>
      </c>
      <c r="C262" s="4" t="s">
        <v>47</v>
      </c>
      <c r="D262" s="4" t="s">
        <v>12</v>
      </c>
      <c r="E262" s="4" t="n">
        <v>6</v>
      </c>
      <c r="F262" s="4" t="n">
        <v>0.54</v>
      </c>
      <c r="G262" s="4" t="n">
        <v>30</v>
      </c>
      <c r="H262" s="4" t="n">
        <v>2.82</v>
      </c>
      <c r="I262" s="4" t="n">
        <v>-2.28</v>
      </c>
    </row>
    <row r="263" customFormat="false" ht="15" hidden="false" customHeight="true" outlineLevel="0" collapsed="false">
      <c r="A263" s="4" t="s">
        <v>158</v>
      </c>
      <c r="B263" s="4" t="n">
        <v>12820103</v>
      </c>
      <c r="C263" s="4" t="s">
        <v>49</v>
      </c>
      <c r="D263" s="4" t="s">
        <v>99</v>
      </c>
      <c r="E263" s="4" t="n">
        <v>472</v>
      </c>
      <c r="F263" s="4" t="n">
        <v>41.29</v>
      </c>
      <c r="G263" s="4" t="n">
        <v>394</v>
      </c>
      <c r="H263" s="4" t="n">
        <v>37.81</v>
      </c>
      <c r="I263" s="4" t="n">
        <v>3.48</v>
      </c>
    </row>
    <row r="264" customFormat="false" ht="15" hidden="false" customHeight="true" outlineLevel="0" collapsed="false">
      <c r="A264" s="4" t="s">
        <v>158</v>
      </c>
      <c r="B264" s="4" t="n">
        <v>12820103</v>
      </c>
      <c r="C264" s="4" t="s">
        <v>49</v>
      </c>
      <c r="D264" s="4" t="s">
        <v>101</v>
      </c>
      <c r="E264" s="4" t="n">
        <v>115</v>
      </c>
      <c r="F264" s="4" t="n">
        <v>10.06</v>
      </c>
      <c r="G264" s="4" t="n">
        <v>110</v>
      </c>
      <c r="H264" s="4" t="n">
        <v>10.56</v>
      </c>
      <c r="I264" s="4" t="n">
        <v>-0.5</v>
      </c>
    </row>
    <row r="265" customFormat="false" ht="15" hidden="false" customHeight="true" outlineLevel="0" collapsed="false">
      <c r="A265" s="4" t="s">
        <v>158</v>
      </c>
      <c r="B265" s="4" t="n">
        <v>12820103</v>
      </c>
      <c r="C265" s="4" t="s">
        <v>49</v>
      </c>
      <c r="D265" s="4" t="s">
        <v>100</v>
      </c>
      <c r="E265" s="4" t="n">
        <v>183</v>
      </c>
      <c r="F265" s="4" t="n">
        <v>16.01</v>
      </c>
      <c r="G265" s="4" t="n">
        <v>218</v>
      </c>
      <c r="H265" s="4" t="n">
        <v>20.92</v>
      </c>
      <c r="I265" s="4" t="n">
        <v>-4.91</v>
      </c>
    </row>
    <row r="266" customFormat="false" ht="15" hidden="false" customHeight="true" outlineLevel="0" collapsed="false">
      <c r="A266" s="4" t="s">
        <v>158</v>
      </c>
      <c r="B266" s="4" t="n">
        <v>12820103</v>
      </c>
      <c r="C266" s="4" t="s">
        <v>49</v>
      </c>
      <c r="D266" s="4" t="s">
        <v>103</v>
      </c>
      <c r="E266" s="4" t="n">
        <v>171</v>
      </c>
      <c r="F266" s="4" t="n">
        <v>14.96</v>
      </c>
      <c r="G266" s="4" t="n">
        <v>103</v>
      </c>
      <c r="H266" s="4" t="n">
        <v>9.88</v>
      </c>
      <c r="I266" s="4" t="n">
        <v>5.08</v>
      </c>
    </row>
    <row r="267" customFormat="false" ht="15" hidden="false" customHeight="true" outlineLevel="0" collapsed="false">
      <c r="A267" s="4" t="s">
        <v>158</v>
      </c>
      <c r="B267" s="4" t="n">
        <v>12820103</v>
      </c>
      <c r="C267" s="4" t="s">
        <v>49</v>
      </c>
      <c r="D267" s="4" t="s">
        <v>102</v>
      </c>
      <c r="E267" s="4" t="n">
        <v>91</v>
      </c>
      <c r="F267" s="4" t="n">
        <v>7.96</v>
      </c>
      <c r="G267" s="4" t="n">
        <v>79</v>
      </c>
      <c r="H267" s="4" t="n">
        <v>7.58</v>
      </c>
      <c r="I267" s="4" t="n">
        <v>0.38</v>
      </c>
    </row>
    <row r="268" customFormat="false" ht="15" hidden="false" customHeight="true" outlineLevel="0" collapsed="false">
      <c r="A268" s="4" t="s">
        <v>158</v>
      </c>
      <c r="B268" s="4" t="n">
        <v>12820103</v>
      </c>
      <c r="C268" s="4" t="s">
        <v>49</v>
      </c>
      <c r="D268" s="4" t="s">
        <v>105</v>
      </c>
      <c r="E268" s="4" t="n">
        <v>19</v>
      </c>
      <c r="F268" s="4" t="n">
        <v>1.66</v>
      </c>
      <c r="G268" s="4" t="n">
        <v>36</v>
      </c>
      <c r="H268" s="4" t="n">
        <v>3.45</v>
      </c>
      <c r="I268" s="4" t="n">
        <v>-1.79</v>
      </c>
    </row>
    <row r="269" customFormat="false" ht="15" hidden="false" customHeight="true" outlineLevel="0" collapsed="false">
      <c r="A269" s="4" t="s">
        <v>158</v>
      </c>
      <c r="B269" s="4" t="n">
        <v>12820103</v>
      </c>
      <c r="C269" s="4" t="s">
        <v>49</v>
      </c>
      <c r="D269" s="4" t="s">
        <v>104</v>
      </c>
      <c r="E269" s="4" t="n">
        <v>36</v>
      </c>
      <c r="F269" s="4" t="n">
        <v>3.15</v>
      </c>
      <c r="G269" s="4" t="n">
        <v>26</v>
      </c>
      <c r="H269" s="4" t="n">
        <v>2.5</v>
      </c>
      <c r="I269" s="4" t="n">
        <v>0.65</v>
      </c>
    </row>
    <row r="270" customFormat="false" ht="15" hidden="false" customHeight="true" outlineLevel="0" collapsed="false">
      <c r="A270" s="4" t="s">
        <v>158</v>
      </c>
      <c r="B270" s="4" t="n">
        <v>12820103</v>
      </c>
      <c r="C270" s="4" t="s">
        <v>49</v>
      </c>
      <c r="D270" s="4" t="s">
        <v>106</v>
      </c>
      <c r="E270" s="4" t="n">
        <v>42</v>
      </c>
      <c r="F270" s="4" t="n">
        <v>3.67</v>
      </c>
      <c r="G270" s="4" t="n">
        <v>28</v>
      </c>
      <c r="H270" s="4" t="n">
        <v>2.69</v>
      </c>
      <c r="I270" s="4" t="n">
        <v>0.99</v>
      </c>
    </row>
    <row r="271" customFormat="false" ht="15" hidden="false" customHeight="true" outlineLevel="0" collapsed="false">
      <c r="A271" s="4" t="s">
        <v>158</v>
      </c>
      <c r="B271" s="4" t="n">
        <v>12820103</v>
      </c>
      <c r="C271" s="4" t="s">
        <v>49</v>
      </c>
      <c r="D271" s="4" t="s">
        <v>12</v>
      </c>
      <c r="E271" s="4" t="n">
        <v>14</v>
      </c>
      <c r="F271" s="4" t="n">
        <v>1.22</v>
      </c>
      <c r="G271" s="4" t="n">
        <v>48</v>
      </c>
      <c r="H271" s="4" t="n">
        <v>4.61</v>
      </c>
      <c r="I271" s="4" t="n">
        <v>-3.38</v>
      </c>
    </row>
    <row r="272" customFormat="false" ht="15" hidden="false" customHeight="true" outlineLevel="0" collapsed="false">
      <c r="A272" s="4" t="s">
        <v>158</v>
      </c>
      <c r="B272" s="4" t="n">
        <v>12820104</v>
      </c>
      <c r="C272" s="4" t="s">
        <v>51</v>
      </c>
      <c r="D272" s="4" t="s">
        <v>99</v>
      </c>
      <c r="E272" s="4" t="n">
        <v>388</v>
      </c>
      <c r="F272" s="4" t="n">
        <v>33.86</v>
      </c>
      <c r="G272" s="4" t="n">
        <v>298</v>
      </c>
      <c r="H272" s="4" t="n">
        <v>33.45</v>
      </c>
      <c r="I272" s="4" t="n">
        <v>0.41</v>
      </c>
    </row>
    <row r="273" customFormat="false" ht="15" hidden="false" customHeight="true" outlineLevel="0" collapsed="false">
      <c r="A273" s="4" t="s">
        <v>158</v>
      </c>
      <c r="B273" s="4" t="n">
        <v>12820104</v>
      </c>
      <c r="C273" s="4" t="s">
        <v>51</v>
      </c>
      <c r="D273" s="4" t="s">
        <v>101</v>
      </c>
      <c r="E273" s="4" t="n">
        <v>145</v>
      </c>
      <c r="F273" s="4" t="n">
        <v>12.65</v>
      </c>
      <c r="G273" s="4" t="n">
        <v>118</v>
      </c>
      <c r="H273" s="4" t="n">
        <v>13.24</v>
      </c>
      <c r="I273" s="4" t="n">
        <v>-0.59</v>
      </c>
    </row>
    <row r="274" customFormat="false" ht="15" hidden="false" customHeight="true" outlineLevel="0" collapsed="false">
      <c r="A274" s="4" t="s">
        <v>158</v>
      </c>
      <c r="B274" s="4" t="n">
        <v>12820104</v>
      </c>
      <c r="C274" s="4" t="s">
        <v>51</v>
      </c>
      <c r="D274" s="4" t="s">
        <v>100</v>
      </c>
      <c r="E274" s="4" t="n">
        <v>238</v>
      </c>
      <c r="F274" s="4" t="n">
        <v>20.77</v>
      </c>
      <c r="G274" s="4" t="n">
        <v>206</v>
      </c>
      <c r="H274" s="4" t="n">
        <v>23.12</v>
      </c>
      <c r="I274" s="4" t="n">
        <v>-2.35</v>
      </c>
    </row>
    <row r="275" customFormat="false" ht="15" hidden="false" customHeight="true" outlineLevel="0" collapsed="false">
      <c r="A275" s="4" t="s">
        <v>158</v>
      </c>
      <c r="B275" s="4" t="n">
        <v>12820104</v>
      </c>
      <c r="C275" s="4" t="s">
        <v>51</v>
      </c>
      <c r="D275" s="4" t="s">
        <v>103</v>
      </c>
      <c r="E275" s="4" t="n">
        <v>120</v>
      </c>
      <c r="F275" s="4" t="n">
        <v>10.47</v>
      </c>
      <c r="G275" s="4" t="n">
        <v>83</v>
      </c>
      <c r="H275" s="4" t="n">
        <v>9.32</v>
      </c>
      <c r="I275" s="4" t="n">
        <v>1.16</v>
      </c>
    </row>
    <row r="276" customFormat="false" ht="15" hidden="false" customHeight="true" outlineLevel="0" collapsed="false">
      <c r="A276" s="4" t="s">
        <v>158</v>
      </c>
      <c r="B276" s="4" t="n">
        <v>12820104</v>
      </c>
      <c r="C276" s="4" t="s">
        <v>51</v>
      </c>
      <c r="D276" s="4" t="s">
        <v>102</v>
      </c>
      <c r="E276" s="4" t="n">
        <v>130</v>
      </c>
      <c r="F276" s="4" t="n">
        <v>11.34</v>
      </c>
      <c r="G276" s="4" t="n">
        <v>61</v>
      </c>
      <c r="H276" s="4" t="n">
        <v>6.85</v>
      </c>
      <c r="I276" s="4" t="n">
        <v>4.5</v>
      </c>
    </row>
    <row r="277" customFormat="false" ht="15" hidden="false" customHeight="true" outlineLevel="0" collapsed="false">
      <c r="A277" s="4" t="s">
        <v>158</v>
      </c>
      <c r="B277" s="4" t="n">
        <v>12820104</v>
      </c>
      <c r="C277" s="4" t="s">
        <v>51</v>
      </c>
      <c r="D277" s="4" t="s">
        <v>105</v>
      </c>
      <c r="E277" s="4" t="n">
        <v>24</v>
      </c>
      <c r="F277" s="4" t="n">
        <v>2.09</v>
      </c>
      <c r="G277" s="4" t="n">
        <v>19</v>
      </c>
      <c r="H277" s="4" t="n">
        <v>2.13</v>
      </c>
      <c r="I277" s="4" t="n">
        <v>-0.04</v>
      </c>
    </row>
    <row r="278" customFormat="false" ht="15" hidden="false" customHeight="true" outlineLevel="0" collapsed="false">
      <c r="A278" s="4" t="s">
        <v>158</v>
      </c>
      <c r="B278" s="4" t="n">
        <v>12820104</v>
      </c>
      <c r="C278" s="4" t="s">
        <v>51</v>
      </c>
      <c r="D278" s="4" t="s">
        <v>104</v>
      </c>
      <c r="E278" s="4" t="n">
        <v>41</v>
      </c>
      <c r="F278" s="4" t="n">
        <v>3.58</v>
      </c>
      <c r="G278" s="4" t="n">
        <v>35</v>
      </c>
      <c r="H278" s="4" t="n">
        <v>3.93</v>
      </c>
      <c r="I278" s="4" t="n">
        <v>-0.35</v>
      </c>
    </row>
    <row r="279" customFormat="false" ht="15" hidden="false" customHeight="true" outlineLevel="0" collapsed="false">
      <c r="A279" s="4" t="s">
        <v>158</v>
      </c>
      <c r="B279" s="4" t="n">
        <v>12820104</v>
      </c>
      <c r="C279" s="4" t="s">
        <v>51</v>
      </c>
      <c r="D279" s="4" t="s">
        <v>106</v>
      </c>
      <c r="E279" s="4" t="n">
        <v>52</v>
      </c>
      <c r="F279" s="4" t="n">
        <v>4.54</v>
      </c>
      <c r="G279" s="4" t="n">
        <v>30</v>
      </c>
      <c r="H279" s="4" t="n">
        <v>3.37</v>
      </c>
      <c r="I279" s="4" t="n">
        <v>1.17</v>
      </c>
    </row>
    <row r="280" customFormat="false" ht="15" hidden="false" customHeight="true" outlineLevel="0" collapsed="false">
      <c r="A280" s="4" t="s">
        <v>158</v>
      </c>
      <c r="B280" s="4" t="n">
        <v>12820104</v>
      </c>
      <c r="C280" s="4" t="s">
        <v>51</v>
      </c>
      <c r="D280" s="4" t="s">
        <v>12</v>
      </c>
      <c r="E280" s="4" t="n">
        <v>8</v>
      </c>
      <c r="F280" s="4" t="n">
        <v>0.7</v>
      </c>
      <c r="G280" s="4" t="n">
        <v>41</v>
      </c>
      <c r="H280" s="4" t="n">
        <v>4.6</v>
      </c>
      <c r="I280" s="4" t="n">
        <v>-3.9</v>
      </c>
    </row>
    <row r="281" customFormat="false" ht="15" hidden="false" customHeight="true" outlineLevel="0" collapsed="false">
      <c r="A281" s="4" t="s">
        <v>158</v>
      </c>
      <c r="B281" s="4" t="n">
        <v>12820105</v>
      </c>
      <c r="C281" s="4" t="s">
        <v>53</v>
      </c>
      <c r="D281" s="4" t="s">
        <v>99</v>
      </c>
      <c r="E281" s="4" t="n">
        <v>459</v>
      </c>
      <c r="F281" s="4" t="n">
        <v>45.9</v>
      </c>
      <c r="G281" s="4" t="n">
        <v>325</v>
      </c>
      <c r="H281" s="4" t="n">
        <v>39.25</v>
      </c>
      <c r="I281" s="4" t="n">
        <v>6.65</v>
      </c>
    </row>
    <row r="282" customFormat="false" ht="15" hidden="false" customHeight="true" outlineLevel="0" collapsed="false">
      <c r="A282" s="4" t="s">
        <v>158</v>
      </c>
      <c r="B282" s="4" t="n">
        <v>12820105</v>
      </c>
      <c r="C282" s="4" t="s">
        <v>53</v>
      </c>
      <c r="D282" s="4" t="s">
        <v>101</v>
      </c>
      <c r="E282" s="4" t="n">
        <v>85</v>
      </c>
      <c r="F282" s="4" t="n">
        <v>8.5</v>
      </c>
      <c r="G282" s="4" t="n">
        <v>66</v>
      </c>
      <c r="H282" s="4" t="n">
        <v>7.97</v>
      </c>
      <c r="I282" s="4" t="n">
        <v>0.53</v>
      </c>
    </row>
    <row r="283" customFormat="false" ht="15" hidden="false" customHeight="true" outlineLevel="0" collapsed="false">
      <c r="A283" s="4" t="s">
        <v>158</v>
      </c>
      <c r="B283" s="4" t="n">
        <v>12820105</v>
      </c>
      <c r="C283" s="4" t="s">
        <v>53</v>
      </c>
      <c r="D283" s="4" t="s">
        <v>100</v>
      </c>
      <c r="E283" s="4" t="n">
        <v>123</v>
      </c>
      <c r="F283" s="4" t="n">
        <v>12.3</v>
      </c>
      <c r="G283" s="4" t="n">
        <v>178</v>
      </c>
      <c r="H283" s="4" t="n">
        <v>21.5</v>
      </c>
      <c r="I283" s="4" t="n">
        <v>-9.2</v>
      </c>
    </row>
    <row r="284" customFormat="false" ht="15" hidden="false" customHeight="true" outlineLevel="0" collapsed="false">
      <c r="A284" s="4" t="s">
        <v>158</v>
      </c>
      <c r="B284" s="4" t="n">
        <v>12820105</v>
      </c>
      <c r="C284" s="4" t="s">
        <v>53</v>
      </c>
      <c r="D284" s="4" t="s">
        <v>103</v>
      </c>
      <c r="E284" s="4" t="n">
        <v>226</v>
      </c>
      <c r="F284" s="4" t="n">
        <v>22.6</v>
      </c>
      <c r="G284" s="4" t="n">
        <v>95</v>
      </c>
      <c r="H284" s="4" t="n">
        <v>11.47</v>
      </c>
      <c r="I284" s="4" t="n">
        <v>11.13</v>
      </c>
    </row>
    <row r="285" customFormat="false" ht="15" hidden="false" customHeight="true" outlineLevel="0" collapsed="false">
      <c r="A285" s="4" t="s">
        <v>158</v>
      </c>
      <c r="B285" s="4" t="n">
        <v>12820105</v>
      </c>
      <c r="C285" s="4" t="s">
        <v>53</v>
      </c>
      <c r="D285" s="4" t="s">
        <v>102</v>
      </c>
      <c r="E285" s="4" t="n">
        <v>51</v>
      </c>
      <c r="F285" s="4" t="n">
        <v>5.1</v>
      </c>
      <c r="G285" s="4" t="n">
        <v>50</v>
      </c>
      <c r="H285" s="4" t="n">
        <v>6.04</v>
      </c>
      <c r="I285" s="4" t="n">
        <v>-0.94</v>
      </c>
    </row>
    <row r="286" customFormat="false" ht="15" hidden="false" customHeight="true" outlineLevel="0" collapsed="false">
      <c r="A286" s="4" t="s">
        <v>158</v>
      </c>
      <c r="B286" s="4" t="n">
        <v>12820105</v>
      </c>
      <c r="C286" s="4" t="s">
        <v>53</v>
      </c>
      <c r="D286" s="4" t="s">
        <v>105</v>
      </c>
      <c r="E286" s="4" t="n">
        <v>14</v>
      </c>
      <c r="F286" s="4" t="n">
        <v>1.4</v>
      </c>
      <c r="G286" s="4" t="n">
        <v>12</v>
      </c>
      <c r="H286" s="4" t="n">
        <v>1.45</v>
      </c>
      <c r="I286" s="4" t="n">
        <v>-0.05</v>
      </c>
    </row>
    <row r="287" customFormat="false" ht="15" hidden="false" customHeight="true" outlineLevel="0" collapsed="false">
      <c r="A287" s="4" t="s">
        <v>158</v>
      </c>
      <c r="B287" s="4" t="n">
        <v>12820105</v>
      </c>
      <c r="C287" s="4" t="s">
        <v>53</v>
      </c>
      <c r="D287" s="4" t="s">
        <v>104</v>
      </c>
      <c r="E287" s="4" t="n">
        <v>12</v>
      </c>
      <c r="F287" s="4" t="n">
        <v>1.2</v>
      </c>
      <c r="G287" s="4" t="n">
        <v>18</v>
      </c>
      <c r="H287" s="4" t="n">
        <v>2.17</v>
      </c>
      <c r="I287" s="4" t="n">
        <v>-0.97</v>
      </c>
    </row>
    <row r="288" customFormat="false" ht="15" hidden="false" customHeight="true" outlineLevel="0" collapsed="false">
      <c r="A288" s="4" t="s">
        <v>158</v>
      </c>
      <c r="B288" s="4" t="n">
        <v>12820105</v>
      </c>
      <c r="C288" s="4" t="s">
        <v>53</v>
      </c>
      <c r="D288" s="4" t="s">
        <v>106</v>
      </c>
      <c r="E288" s="4" t="n">
        <v>25</v>
      </c>
      <c r="F288" s="4" t="n">
        <v>2.5</v>
      </c>
      <c r="G288" s="4" t="n">
        <v>15</v>
      </c>
      <c r="H288" s="4" t="n">
        <v>1.81</v>
      </c>
      <c r="I288" s="4" t="n">
        <v>0.69</v>
      </c>
    </row>
    <row r="289" customFormat="false" ht="15" hidden="false" customHeight="true" outlineLevel="0" collapsed="false">
      <c r="A289" s="4" t="s">
        <v>158</v>
      </c>
      <c r="B289" s="4" t="n">
        <v>12820105</v>
      </c>
      <c r="C289" s="4" t="s">
        <v>53</v>
      </c>
      <c r="D289" s="4" t="s">
        <v>12</v>
      </c>
      <c r="E289" s="4" t="n">
        <v>5</v>
      </c>
      <c r="F289" s="4" t="n">
        <v>0.5</v>
      </c>
      <c r="G289" s="4" t="n">
        <v>69</v>
      </c>
      <c r="H289" s="4" t="n">
        <v>8.33</v>
      </c>
      <c r="I289" s="4" t="n">
        <v>-7.83</v>
      </c>
    </row>
    <row r="290" customFormat="false" ht="15" hidden="false" customHeight="true" outlineLevel="0" collapsed="false">
      <c r="A290" s="4" t="s">
        <v>158</v>
      </c>
      <c r="B290" s="4" t="n">
        <v>12820106</v>
      </c>
      <c r="C290" s="4" t="s">
        <v>55</v>
      </c>
      <c r="D290" s="4" t="s">
        <v>99</v>
      </c>
      <c r="E290" s="4" t="n">
        <v>463</v>
      </c>
      <c r="F290" s="4" t="n">
        <v>43.56</v>
      </c>
      <c r="G290" s="4" t="n">
        <v>402</v>
      </c>
      <c r="H290" s="4" t="n">
        <v>40.98</v>
      </c>
      <c r="I290" s="4" t="n">
        <v>2.58</v>
      </c>
    </row>
    <row r="291" customFormat="false" ht="15" hidden="false" customHeight="true" outlineLevel="0" collapsed="false">
      <c r="A291" s="4" t="s">
        <v>158</v>
      </c>
      <c r="B291" s="4" t="n">
        <v>12820106</v>
      </c>
      <c r="C291" s="4" t="s">
        <v>55</v>
      </c>
      <c r="D291" s="4" t="s">
        <v>101</v>
      </c>
      <c r="E291" s="4" t="n">
        <v>99</v>
      </c>
      <c r="F291" s="4" t="n">
        <v>9.31</v>
      </c>
      <c r="G291" s="4" t="n">
        <v>145</v>
      </c>
      <c r="H291" s="4" t="n">
        <v>14.78</v>
      </c>
      <c r="I291" s="4" t="n">
        <v>-5.47</v>
      </c>
    </row>
    <row r="292" customFormat="false" ht="15" hidden="false" customHeight="true" outlineLevel="0" collapsed="false">
      <c r="A292" s="4" t="s">
        <v>158</v>
      </c>
      <c r="B292" s="4" t="n">
        <v>12820106</v>
      </c>
      <c r="C292" s="4" t="s">
        <v>55</v>
      </c>
      <c r="D292" s="4" t="s">
        <v>100</v>
      </c>
      <c r="E292" s="4" t="n">
        <v>158</v>
      </c>
      <c r="F292" s="4" t="n">
        <v>14.86</v>
      </c>
      <c r="G292" s="4" t="n">
        <v>177</v>
      </c>
      <c r="H292" s="4" t="n">
        <v>18.04</v>
      </c>
      <c r="I292" s="4" t="n">
        <v>-3.18</v>
      </c>
    </row>
    <row r="293" customFormat="false" ht="15" hidden="false" customHeight="true" outlineLevel="0" collapsed="false">
      <c r="A293" s="4" t="s">
        <v>158</v>
      </c>
      <c r="B293" s="4" t="n">
        <v>12820106</v>
      </c>
      <c r="C293" s="4" t="s">
        <v>55</v>
      </c>
      <c r="D293" s="4" t="s">
        <v>103</v>
      </c>
      <c r="E293" s="4" t="n">
        <v>190</v>
      </c>
      <c r="F293" s="4" t="n">
        <v>17.87</v>
      </c>
      <c r="G293" s="4" t="n">
        <v>72</v>
      </c>
      <c r="H293" s="4" t="n">
        <v>7.34</v>
      </c>
      <c r="I293" s="4" t="n">
        <v>10.53</v>
      </c>
    </row>
    <row r="294" customFormat="false" ht="15" hidden="false" customHeight="true" outlineLevel="0" collapsed="false">
      <c r="A294" s="4" t="s">
        <v>158</v>
      </c>
      <c r="B294" s="4" t="n">
        <v>12820106</v>
      </c>
      <c r="C294" s="4" t="s">
        <v>55</v>
      </c>
      <c r="D294" s="4" t="s">
        <v>102</v>
      </c>
      <c r="E294" s="4" t="n">
        <v>71</v>
      </c>
      <c r="F294" s="4" t="n">
        <v>6.68</v>
      </c>
      <c r="G294" s="4" t="n">
        <v>59</v>
      </c>
      <c r="H294" s="4" t="n">
        <v>6.01</v>
      </c>
      <c r="I294" s="4" t="n">
        <v>0.66</v>
      </c>
    </row>
    <row r="295" customFormat="false" ht="15" hidden="false" customHeight="true" outlineLevel="0" collapsed="false">
      <c r="A295" s="4" t="s">
        <v>158</v>
      </c>
      <c r="B295" s="4" t="n">
        <v>12820106</v>
      </c>
      <c r="C295" s="4" t="s">
        <v>55</v>
      </c>
      <c r="D295" s="4" t="s">
        <v>105</v>
      </c>
      <c r="E295" s="4" t="n">
        <v>12</v>
      </c>
      <c r="F295" s="4" t="n">
        <v>1.13</v>
      </c>
      <c r="G295" s="4" t="n">
        <v>13</v>
      </c>
      <c r="H295" s="4" t="n">
        <v>1.33</v>
      </c>
      <c r="I295" s="4" t="n">
        <v>-0.2</v>
      </c>
    </row>
    <row r="296" customFormat="false" ht="15" hidden="false" customHeight="true" outlineLevel="0" collapsed="false">
      <c r="A296" s="4" t="s">
        <v>158</v>
      </c>
      <c r="B296" s="4" t="n">
        <v>12820106</v>
      </c>
      <c r="C296" s="4" t="s">
        <v>55</v>
      </c>
      <c r="D296" s="4" t="s">
        <v>104</v>
      </c>
      <c r="E296" s="4" t="n">
        <v>33</v>
      </c>
      <c r="F296" s="4" t="n">
        <v>3.1</v>
      </c>
      <c r="G296" s="4" t="n">
        <v>21</v>
      </c>
      <c r="H296" s="4" t="n">
        <v>2.14</v>
      </c>
      <c r="I296" s="4" t="n">
        <v>0.96</v>
      </c>
    </row>
    <row r="297" customFormat="false" ht="15" hidden="false" customHeight="true" outlineLevel="0" collapsed="false">
      <c r="A297" s="4" t="s">
        <v>158</v>
      </c>
      <c r="B297" s="4" t="n">
        <v>12820106</v>
      </c>
      <c r="C297" s="4" t="s">
        <v>55</v>
      </c>
      <c r="D297" s="4" t="s">
        <v>106</v>
      </c>
      <c r="E297" s="4" t="n">
        <v>26</v>
      </c>
      <c r="F297" s="4" t="n">
        <v>2.45</v>
      </c>
      <c r="G297" s="4" t="n">
        <v>25</v>
      </c>
      <c r="H297" s="4" t="n">
        <v>2.55</v>
      </c>
      <c r="I297" s="4" t="n">
        <v>-0.1</v>
      </c>
    </row>
    <row r="298" customFormat="false" ht="15" hidden="false" customHeight="true" outlineLevel="0" collapsed="false">
      <c r="A298" s="4" t="s">
        <v>158</v>
      </c>
      <c r="B298" s="4" t="n">
        <v>12820106</v>
      </c>
      <c r="C298" s="4" t="s">
        <v>55</v>
      </c>
      <c r="D298" s="4" t="s">
        <v>12</v>
      </c>
      <c r="E298" s="4" t="n">
        <v>11</v>
      </c>
      <c r="F298" s="4" t="n">
        <v>1.03</v>
      </c>
      <c r="G298" s="4" t="n">
        <v>67</v>
      </c>
      <c r="H298" s="4" t="n">
        <v>6.83</v>
      </c>
      <c r="I298" s="4" t="n">
        <v>-5.79</v>
      </c>
    </row>
    <row r="299" customFormat="false" ht="15" hidden="false" customHeight="true" outlineLevel="0" collapsed="false">
      <c r="A299" s="4" t="s">
        <v>158</v>
      </c>
      <c r="B299" s="4" t="n">
        <v>12820107</v>
      </c>
      <c r="C299" s="4" t="s">
        <v>57</v>
      </c>
      <c r="D299" s="4" t="s">
        <v>99</v>
      </c>
      <c r="E299" s="4" t="n">
        <v>300</v>
      </c>
      <c r="F299" s="4" t="n">
        <v>35.21</v>
      </c>
      <c r="G299" s="4" t="n">
        <v>302</v>
      </c>
      <c r="H299" s="4" t="n">
        <v>36.08</v>
      </c>
      <c r="I299" s="4" t="n">
        <v>-0.87</v>
      </c>
    </row>
    <row r="300" customFormat="false" ht="15" hidden="false" customHeight="true" outlineLevel="0" collapsed="false">
      <c r="A300" s="4" t="s">
        <v>158</v>
      </c>
      <c r="B300" s="4" t="n">
        <v>12820107</v>
      </c>
      <c r="C300" s="4" t="s">
        <v>57</v>
      </c>
      <c r="D300" s="4" t="s">
        <v>101</v>
      </c>
      <c r="E300" s="4" t="n">
        <v>128</v>
      </c>
      <c r="F300" s="4" t="n">
        <v>15.02</v>
      </c>
      <c r="G300" s="4" t="n">
        <v>100</v>
      </c>
      <c r="H300" s="4" t="n">
        <v>11.95</v>
      </c>
      <c r="I300" s="4" t="n">
        <v>3.08</v>
      </c>
    </row>
    <row r="301" customFormat="false" ht="15" hidden="false" customHeight="true" outlineLevel="0" collapsed="false">
      <c r="A301" s="4" t="s">
        <v>158</v>
      </c>
      <c r="B301" s="4" t="n">
        <v>12820107</v>
      </c>
      <c r="C301" s="4" t="s">
        <v>57</v>
      </c>
      <c r="D301" s="4" t="s">
        <v>100</v>
      </c>
      <c r="E301" s="4" t="n">
        <v>126</v>
      </c>
      <c r="F301" s="4" t="n">
        <v>14.79</v>
      </c>
      <c r="G301" s="4" t="n">
        <v>158</v>
      </c>
      <c r="H301" s="4" t="n">
        <v>18.88</v>
      </c>
      <c r="I301" s="4" t="n">
        <v>-4.09</v>
      </c>
    </row>
    <row r="302" customFormat="false" ht="15" hidden="false" customHeight="true" outlineLevel="0" collapsed="false">
      <c r="A302" s="4" t="s">
        <v>158</v>
      </c>
      <c r="B302" s="4" t="n">
        <v>12820107</v>
      </c>
      <c r="C302" s="4" t="s">
        <v>57</v>
      </c>
      <c r="D302" s="4" t="s">
        <v>103</v>
      </c>
      <c r="E302" s="4" t="n">
        <v>69</v>
      </c>
      <c r="F302" s="4" t="n">
        <v>8.1</v>
      </c>
      <c r="G302" s="4" t="n">
        <v>46</v>
      </c>
      <c r="H302" s="4" t="n">
        <v>5.5</v>
      </c>
      <c r="I302" s="4" t="n">
        <v>2.6</v>
      </c>
    </row>
    <row r="303" customFormat="false" ht="15" hidden="false" customHeight="true" outlineLevel="0" collapsed="false">
      <c r="A303" s="4" t="s">
        <v>158</v>
      </c>
      <c r="B303" s="4" t="n">
        <v>12820107</v>
      </c>
      <c r="C303" s="4" t="s">
        <v>57</v>
      </c>
      <c r="D303" s="4" t="s">
        <v>102</v>
      </c>
      <c r="E303" s="4" t="n">
        <v>127</v>
      </c>
      <c r="F303" s="4" t="n">
        <v>14.91</v>
      </c>
      <c r="G303" s="4" t="n">
        <v>127</v>
      </c>
      <c r="H303" s="4" t="n">
        <v>15.17</v>
      </c>
      <c r="I303" s="4" t="n">
        <v>-0.27</v>
      </c>
    </row>
    <row r="304" customFormat="false" ht="15" hidden="false" customHeight="true" outlineLevel="0" collapsed="false">
      <c r="A304" s="4" t="s">
        <v>158</v>
      </c>
      <c r="B304" s="4" t="n">
        <v>12820107</v>
      </c>
      <c r="C304" s="4" t="s">
        <v>57</v>
      </c>
      <c r="D304" s="4" t="s">
        <v>105</v>
      </c>
      <c r="E304" s="4" t="n">
        <v>22</v>
      </c>
      <c r="F304" s="4" t="n">
        <v>2.58</v>
      </c>
      <c r="G304" s="4" t="n">
        <v>24</v>
      </c>
      <c r="H304" s="4" t="n">
        <v>2.87</v>
      </c>
      <c r="I304" s="4" t="n">
        <v>-0.29</v>
      </c>
    </row>
    <row r="305" customFormat="false" ht="15" hidden="false" customHeight="true" outlineLevel="0" collapsed="false">
      <c r="A305" s="4" t="s">
        <v>158</v>
      </c>
      <c r="B305" s="4" t="n">
        <v>12820107</v>
      </c>
      <c r="C305" s="4" t="s">
        <v>57</v>
      </c>
      <c r="D305" s="4" t="s">
        <v>104</v>
      </c>
      <c r="E305" s="4" t="n">
        <v>31</v>
      </c>
      <c r="F305" s="4" t="n">
        <v>3.64</v>
      </c>
      <c r="G305" s="4" t="n">
        <v>41</v>
      </c>
      <c r="H305" s="4" t="n">
        <v>4.9</v>
      </c>
      <c r="I305" s="4" t="n">
        <v>-1.26</v>
      </c>
    </row>
    <row r="306" customFormat="false" ht="15" hidden="false" customHeight="true" outlineLevel="0" collapsed="false">
      <c r="A306" s="4" t="s">
        <v>158</v>
      </c>
      <c r="B306" s="4" t="n">
        <v>12820107</v>
      </c>
      <c r="C306" s="4" t="s">
        <v>57</v>
      </c>
      <c r="D306" s="4" t="s">
        <v>106</v>
      </c>
      <c r="E306" s="4" t="n">
        <v>42</v>
      </c>
      <c r="F306" s="4" t="n">
        <v>4.93</v>
      </c>
      <c r="G306" s="4" t="n">
        <v>27</v>
      </c>
      <c r="H306" s="4" t="n">
        <v>3.23</v>
      </c>
      <c r="I306" s="4" t="n">
        <v>1.7</v>
      </c>
    </row>
    <row r="307" customFormat="false" ht="15" hidden="false" customHeight="true" outlineLevel="0" collapsed="false">
      <c r="A307" s="4" t="s">
        <v>158</v>
      </c>
      <c r="B307" s="4" t="n">
        <v>12820107</v>
      </c>
      <c r="C307" s="4" t="s">
        <v>57</v>
      </c>
      <c r="D307" s="4" t="s">
        <v>12</v>
      </c>
      <c r="E307" s="4" t="n">
        <v>7</v>
      </c>
      <c r="F307" s="4" t="n">
        <v>0.82</v>
      </c>
      <c r="G307" s="4" t="n">
        <v>12</v>
      </c>
      <c r="H307" s="4" t="n">
        <v>1.43</v>
      </c>
      <c r="I307" s="4" t="n">
        <v>-0.61</v>
      </c>
    </row>
    <row r="308" customFormat="false" ht="15" hidden="false" customHeight="true" outlineLevel="0" collapsed="false">
      <c r="A308" s="4" t="s">
        <v>158</v>
      </c>
      <c r="B308" s="4" t="n">
        <v>12820108</v>
      </c>
      <c r="C308" s="4" t="s">
        <v>59</v>
      </c>
      <c r="D308" s="4" t="s">
        <v>99</v>
      </c>
      <c r="E308" s="4" t="n">
        <v>444</v>
      </c>
      <c r="F308" s="4" t="n">
        <v>40.33</v>
      </c>
      <c r="G308" s="4" t="n">
        <v>390</v>
      </c>
      <c r="H308" s="4" t="n">
        <v>38.2</v>
      </c>
      <c r="I308" s="4" t="n">
        <v>2.13</v>
      </c>
    </row>
    <row r="309" customFormat="false" ht="15" hidden="false" customHeight="true" outlineLevel="0" collapsed="false">
      <c r="A309" s="4" t="s">
        <v>158</v>
      </c>
      <c r="B309" s="4" t="n">
        <v>12820108</v>
      </c>
      <c r="C309" s="4" t="s">
        <v>59</v>
      </c>
      <c r="D309" s="4" t="s">
        <v>101</v>
      </c>
      <c r="E309" s="4" t="n">
        <v>106</v>
      </c>
      <c r="F309" s="4" t="n">
        <v>9.63</v>
      </c>
      <c r="G309" s="4" t="n">
        <v>102</v>
      </c>
      <c r="H309" s="4" t="n">
        <v>9.99</v>
      </c>
      <c r="I309" s="4" t="n">
        <v>-0.36</v>
      </c>
    </row>
    <row r="310" customFormat="false" ht="15" hidden="false" customHeight="true" outlineLevel="0" collapsed="false">
      <c r="A310" s="4" t="s">
        <v>158</v>
      </c>
      <c r="B310" s="4" t="n">
        <v>12820108</v>
      </c>
      <c r="C310" s="4" t="s">
        <v>59</v>
      </c>
      <c r="D310" s="4" t="s">
        <v>100</v>
      </c>
      <c r="E310" s="4" t="n">
        <v>224</v>
      </c>
      <c r="F310" s="4" t="n">
        <v>20.35</v>
      </c>
      <c r="G310" s="4" t="n">
        <v>238</v>
      </c>
      <c r="H310" s="4" t="n">
        <v>23.31</v>
      </c>
      <c r="I310" s="4" t="n">
        <v>-2.97</v>
      </c>
    </row>
    <row r="311" customFormat="false" ht="15" hidden="false" customHeight="true" outlineLevel="0" collapsed="false">
      <c r="A311" s="4" t="s">
        <v>158</v>
      </c>
      <c r="B311" s="4" t="n">
        <v>12820108</v>
      </c>
      <c r="C311" s="4" t="s">
        <v>59</v>
      </c>
      <c r="D311" s="4" t="s">
        <v>103</v>
      </c>
      <c r="E311" s="4" t="n">
        <v>121</v>
      </c>
      <c r="F311" s="4" t="n">
        <v>10.99</v>
      </c>
      <c r="G311" s="4" t="n">
        <v>74</v>
      </c>
      <c r="H311" s="4" t="n">
        <v>7.25</v>
      </c>
      <c r="I311" s="4" t="n">
        <v>3.74</v>
      </c>
    </row>
    <row r="312" customFormat="false" ht="15" hidden="false" customHeight="true" outlineLevel="0" collapsed="false">
      <c r="A312" s="4" t="s">
        <v>158</v>
      </c>
      <c r="B312" s="4" t="n">
        <v>12820108</v>
      </c>
      <c r="C312" s="4" t="s">
        <v>59</v>
      </c>
      <c r="D312" s="4" t="s">
        <v>102</v>
      </c>
      <c r="E312" s="4" t="n">
        <v>80</v>
      </c>
      <c r="F312" s="4" t="n">
        <v>7.27</v>
      </c>
      <c r="G312" s="4" t="n">
        <v>87</v>
      </c>
      <c r="H312" s="4" t="n">
        <v>8.52</v>
      </c>
      <c r="I312" s="4" t="n">
        <v>-1.25</v>
      </c>
    </row>
    <row r="313" customFormat="false" ht="15" hidden="false" customHeight="true" outlineLevel="0" collapsed="false">
      <c r="A313" s="4" t="s">
        <v>158</v>
      </c>
      <c r="B313" s="4" t="n">
        <v>12820108</v>
      </c>
      <c r="C313" s="4" t="s">
        <v>59</v>
      </c>
      <c r="D313" s="4" t="s">
        <v>105</v>
      </c>
      <c r="E313" s="4" t="n">
        <v>23</v>
      </c>
      <c r="F313" s="4" t="n">
        <v>2.09</v>
      </c>
      <c r="G313" s="4" t="n">
        <v>20</v>
      </c>
      <c r="H313" s="4" t="n">
        <v>1.96</v>
      </c>
      <c r="I313" s="4" t="n">
        <v>0.13</v>
      </c>
    </row>
    <row r="314" customFormat="false" ht="15" hidden="false" customHeight="true" outlineLevel="0" collapsed="false">
      <c r="A314" s="4" t="s">
        <v>158</v>
      </c>
      <c r="B314" s="4" t="n">
        <v>12820108</v>
      </c>
      <c r="C314" s="4" t="s">
        <v>59</v>
      </c>
      <c r="D314" s="4" t="s">
        <v>104</v>
      </c>
      <c r="E314" s="4" t="n">
        <v>51</v>
      </c>
      <c r="F314" s="4" t="n">
        <v>4.63</v>
      </c>
      <c r="G314" s="4" t="n">
        <v>39</v>
      </c>
      <c r="H314" s="4" t="n">
        <v>3.82</v>
      </c>
      <c r="I314" s="4" t="n">
        <v>0.81</v>
      </c>
    </row>
    <row r="315" customFormat="false" ht="15" hidden="false" customHeight="true" outlineLevel="0" collapsed="false">
      <c r="A315" s="4" t="s">
        <v>158</v>
      </c>
      <c r="B315" s="4" t="n">
        <v>12820108</v>
      </c>
      <c r="C315" s="4" t="s">
        <v>59</v>
      </c>
      <c r="D315" s="4" t="s">
        <v>106</v>
      </c>
      <c r="E315" s="4" t="n">
        <v>41</v>
      </c>
      <c r="F315" s="4" t="n">
        <v>3.72</v>
      </c>
      <c r="G315" s="4" t="n">
        <v>30</v>
      </c>
      <c r="H315" s="4" t="n">
        <v>2.94</v>
      </c>
      <c r="I315" s="4" t="n">
        <v>0.79</v>
      </c>
    </row>
    <row r="316" customFormat="false" ht="15" hidden="false" customHeight="true" outlineLevel="0" collapsed="false">
      <c r="A316" s="4" t="s">
        <v>158</v>
      </c>
      <c r="B316" s="4" t="n">
        <v>12820108</v>
      </c>
      <c r="C316" s="4" t="s">
        <v>59</v>
      </c>
      <c r="D316" s="4" t="s">
        <v>12</v>
      </c>
      <c r="E316" s="4" t="n">
        <v>11</v>
      </c>
      <c r="F316" s="4" t="n">
        <v>1</v>
      </c>
      <c r="G316" s="4" t="n">
        <v>41</v>
      </c>
      <c r="H316" s="4" t="n">
        <v>4.02</v>
      </c>
      <c r="I316" s="4" t="n">
        <v>-3.02</v>
      </c>
    </row>
    <row r="317" customFormat="false" ht="15" hidden="false" customHeight="true" outlineLevel="0" collapsed="false">
      <c r="A317" s="4" t="s">
        <v>158</v>
      </c>
      <c r="B317" s="4" t="n">
        <v>12820109</v>
      </c>
      <c r="C317" s="4" t="s">
        <v>61</v>
      </c>
      <c r="D317" s="4" t="s">
        <v>99</v>
      </c>
      <c r="E317" s="4" t="n">
        <v>384</v>
      </c>
      <c r="F317" s="4" t="n">
        <v>35.07</v>
      </c>
      <c r="G317" s="4" t="n">
        <v>394</v>
      </c>
      <c r="H317" s="4" t="n">
        <v>36.25</v>
      </c>
      <c r="I317" s="4" t="n">
        <v>-1.18</v>
      </c>
    </row>
    <row r="318" customFormat="false" ht="15" hidden="false" customHeight="true" outlineLevel="0" collapsed="false">
      <c r="A318" s="4" t="s">
        <v>158</v>
      </c>
      <c r="B318" s="4" t="n">
        <v>12820109</v>
      </c>
      <c r="C318" s="4" t="s">
        <v>61</v>
      </c>
      <c r="D318" s="4" t="s">
        <v>101</v>
      </c>
      <c r="E318" s="4" t="n">
        <v>155</v>
      </c>
      <c r="F318" s="4" t="n">
        <v>14.16</v>
      </c>
      <c r="G318" s="4" t="n">
        <v>146</v>
      </c>
      <c r="H318" s="4" t="n">
        <v>13.43</v>
      </c>
      <c r="I318" s="4" t="n">
        <v>0.72</v>
      </c>
    </row>
    <row r="319" customFormat="false" ht="15" hidden="false" customHeight="true" outlineLevel="0" collapsed="false">
      <c r="A319" s="4" t="s">
        <v>158</v>
      </c>
      <c r="B319" s="4" t="n">
        <v>12820109</v>
      </c>
      <c r="C319" s="4" t="s">
        <v>61</v>
      </c>
      <c r="D319" s="4" t="s">
        <v>100</v>
      </c>
      <c r="E319" s="4" t="n">
        <v>253</v>
      </c>
      <c r="F319" s="4" t="n">
        <v>23.11</v>
      </c>
      <c r="G319" s="4" t="n">
        <v>251</v>
      </c>
      <c r="H319" s="4" t="n">
        <v>23.09</v>
      </c>
      <c r="I319" s="4" t="n">
        <v>0.01</v>
      </c>
    </row>
    <row r="320" customFormat="false" ht="15" hidden="false" customHeight="true" outlineLevel="0" collapsed="false">
      <c r="A320" s="4" t="s">
        <v>158</v>
      </c>
      <c r="B320" s="4" t="n">
        <v>12820109</v>
      </c>
      <c r="C320" s="4" t="s">
        <v>61</v>
      </c>
      <c r="D320" s="4" t="s">
        <v>103</v>
      </c>
      <c r="E320" s="4" t="n">
        <v>86</v>
      </c>
      <c r="F320" s="4" t="n">
        <v>7.85</v>
      </c>
      <c r="G320" s="4" t="n">
        <v>63</v>
      </c>
      <c r="H320" s="4" t="n">
        <v>5.8</v>
      </c>
      <c r="I320" s="4" t="n">
        <v>2.06</v>
      </c>
    </row>
    <row r="321" customFormat="false" ht="15" hidden="false" customHeight="true" outlineLevel="0" collapsed="false">
      <c r="A321" s="4" t="s">
        <v>158</v>
      </c>
      <c r="B321" s="4" t="n">
        <v>12820109</v>
      </c>
      <c r="C321" s="4" t="s">
        <v>61</v>
      </c>
      <c r="D321" s="4" t="s">
        <v>102</v>
      </c>
      <c r="E321" s="4" t="n">
        <v>104</v>
      </c>
      <c r="F321" s="4" t="n">
        <v>9.5</v>
      </c>
      <c r="G321" s="4" t="n">
        <v>101</v>
      </c>
      <c r="H321" s="4" t="n">
        <v>9.29</v>
      </c>
      <c r="I321" s="4" t="n">
        <v>0.21</v>
      </c>
    </row>
    <row r="322" customFormat="false" ht="15" hidden="false" customHeight="true" outlineLevel="0" collapsed="false">
      <c r="A322" s="4" t="s">
        <v>158</v>
      </c>
      <c r="B322" s="4" t="n">
        <v>12820109</v>
      </c>
      <c r="C322" s="4" t="s">
        <v>61</v>
      </c>
      <c r="D322" s="4" t="s">
        <v>105</v>
      </c>
      <c r="E322" s="4" t="n">
        <v>15</v>
      </c>
      <c r="F322" s="4" t="n">
        <v>1.37</v>
      </c>
      <c r="G322" s="4" t="n">
        <v>29</v>
      </c>
      <c r="H322" s="4" t="n">
        <v>2.67</v>
      </c>
      <c r="I322" s="4" t="n">
        <v>-1.3</v>
      </c>
    </row>
    <row r="323" customFormat="false" ht="15" hidden="false" customHeight="true" outlineLevel="0" collapsed="false">
      <c r="A323" s="4" t="s">
        <v>158</v>
      </c>
      <c r="B323" s="4" t="n">
        <v>12820109</v>
      </c>
      <c r="C323" s="4" t="s">
        <v>61</v>
      </c>
      <c r="D323" s="4" t="s">
        <v>104</v>
      </c>
      <c r="E323" s="4" t="n">
        <v>58</v>
      </c>
      <c r="F323" s="4" t="n">
        <v>5.3</v>
      </c>
      <c r="G323" s="4" t="n">
        <v>45</v>
      </c>
      <c r="H323" s="4" t="n">
        <v>4.14</v>
      </c>
      <c r="I323" s="4" t="n">
        <v>1.16</v>
      </c>
    </row>
    <row r="324" customFormat="false" ht="15" hidden="false" customHeight="true" outlineLevel="0" collapsed="false">
      <c r="A324" s="4" t="s">
        <v>158</v>
      </c>
      <c r="B324" s="4" t="n">
        <v>12820109</v>
      </c>
      <c r="C324" s="4" t="s">
        <v>61</v>
      </c>
      <c r="D324" s="4" t="s">
        <v>106</v>
      </c>
      <c r="E324" s="4" t="n">
        <v>38</v>
      </c>
      <c r="F324" s="4" t="n">
        <v>3.47</v>
      </c>
      <c r="G324" s="4" t="n">
        <v>33</v>
      </c>
      <c r="H324" s="4" t="n">
        <v>3.04</v>
      </c>
      <c r="I324" s="4" t="n">
        <v>0.43</v>
      </c>
    </row>
    <row r="325" customFormat="false" ht="15" hidden="false" customHeight="true" outlineLevel="0" collapsed="false">
      <c r="A325" s="4" t="s">
        <v>158</v>
      </c>
      <c r="B325" s="4" t="n">
        <v>12820109</v>
      </c>
      <c r="C325" s="4" t="s">
        <v>61</v>
      </c>
      <c r="D325" s="4" t="s">
        <v>12</v>
      </c>
      <c r="E325" s="4" t="n">
        <v>2</v>
      </c>
      <c r="F325" s="4" t="n">
        <v>0.18</v>
      </c>
      <c r="G325" s="4" t="n">
        <v>25</v>
      </c>
      <c r="H325" s="4" t="n">
        <v>2.3</v>
      </c>
      <c r="I325" s="4" t="n">
        <v>-2.12</v>
      </c>
    </row>
    <row r="326" customFormat="false" ht="15" hidden="false" customHeight="true" outlineLevel="0" collapsed="false">
      <c r="A326" s="4" t="s">
        <v>158</v>
      </c>
      <c r="B326" s="4" t="n">
        <v>12820110</v>
      </c>
      <c r="C326" s="4" t="s">
        <v>63</v>
      </c>
      <c r="D326" s="4" t="s">
        <v>99</v>
      </c>
      <c r="E326" s="4" t="n">
        <v>283</v>
      </c>
      <c r="F326" s="4" t="n">
        <v>36.75</v>
      </c>
      <c r="G326" s="4" t="n">
        <v>324</v>
      </c>
      <c r="H326" s="4" t="n">
        <v>41.54</v>
      </c>
      <c r="I326" s="4" t="n">
        <v>-4.79</v>
      </c>
    </row>
    <row r="327" customFormat="false" ht="15" hidden="false" customHeight="true" outlineLevel="0" collapsed="false">
      <c r="A327" s="4" t="s">
        <v>158</v>
      </c>
      <c r="B327" s="4" t="n">
        <v>12820110</v>
      </c>
      <c r="C327" s="4" t="s">
        <v>63</v>
      </c>
      <c r="D327" s="4" t="s">
        <v>101</v>
      </c>
      <c r="E327" s="4" t="n">
        <v>94</v>
      </c>
      <c r="F327" s="4" t="n">
        <v>12.21</v>
      </c>
      <c r="G327" s="4" t="n">
        <v>59</v>
      </c>
      <c r="H327" s="4" t="n">
        <v>7.56</v>
      </c>
      <c r="I327" s="4" t="n">
        <v>4.64</v>
      </c>
    </row>
    <row r="328" customFormat="false" ht="15" hidden="false" customHeight="true" outlineLevel="0" collapsed="false">
      <c r="A328" s="4" t="s">
        <v>158</v>
      </c>
      <c r="B328" s="4" t="n">
        <v>12820110</v>
      </c>
      <c r="C328" s="4" t="s">
        <v>63</v>
      </c>
      <c r="D328" s="4" t="s">
        <v>100</v>
      </c>
      <c r="E328" s="4" t="n">
        <v>226</v>
      </c>
      <c r="F328" s="4" t="n">
        <v>29.35</v>
      </c>
      <c r="G328" s="4" t="n">
        <v>242</v>
      </c>
      <c r="H328" s="4" t="n">
        <v>31.03</v>
      </c>
      <c r="I328" s="4" t="n">
        <v>-1.67</v>
      </c>
    </row>
    <row r="329" customFormat="false" ht="15" hidden="false" customHeight="true" outlineLevel="0" collapsed="false">
      <c r="A329" s="4" t="s">
        <v>158</v>
      </c>
      <c r="B329" s="4" t="n">
        <v>12820110</v>
      </c>
      <c r="C329" s="4" t="s">
        <v>63</v>
      </c>
      <c r="D329" s="4" t="s">
        <v>103</v>
      </c>
      <c r="E329" s="4" t="n">
        <v>63</v>
      </c>
      <c r="F329" s="4" t="n">
        <v>8.18</v>
      </c>
      <c r="G329" s="4" t="n">
        <v>33</v>
      </c>
      <c r="H329" s="4" t="n">
        <v>4.23</v>
      </c>
      <c r="I329" s="4" t="n">
        <v>3.95</v>
      </c>
    </row>
    <row r="330" customFormat="false" ht="15" hidden="false" customHeight="true" outlineLevel="0" collapsed="false">
      <c r="A330" s="4" t="s">
        <v>158</v>
      </c>
      <c r="B330" s="4" t="n">
        <v>12820110</v>
      </c>
      <c r="C330" s="4" t="s">
        <v>63</v>
      </c>
      <c r="D330" s="4" t="s">
        <v>102</v>
      </c>
      <c r="E330" s="4" t="n">
        <v>53</v>
      </c>
      <c r="F330" s="4" t="n">
        <v>6.88</v>
      </c>
      <c r="G330" s="4" t="n">
        <v>53</v>
      </c>
      <c r="H330" s="4" t="n">
        <v>6.79</v>
      </c>
      <c r="I330" s="4" t="n">
        <v>0.09</v>
      </c>
    </row>
    <row r="331" customFormat="false" ht="15" hidden="false" customHeight="true" outlineLevel="0" collapsed="false">
      <c r="A331" s="4" t="s">
        <v>158</v>
      </c>
      <c r="B331" s="4" t="n">
        <v>12820110</v>
      </c>
      <c r="C331" s="4" t="s">
        <v>63</v>
      </c>
      <c r="D331" s="4" t="s">
        <v>105</v>
      </c>
      <c r="E331" s="4" t="n">
        <v>3</v>
      </c>
      <c r="F331" s="4" t="n">
        <v>0.39</v>
      </c>
      <c r="G331" s="4" t="n">
        <v>4</v>
      </c>
      <c r="H331" s="4" t="n">
        <v>0.51</v>
      </c>
      <c r="I331" s="4" t="n">
        <v>-0.12</v>
      </c>
    </row>
    <row r="332" customFormat="false" ht="15" hidden="false" customHeight="true" outlineLevel="0" collapsed="false">
      <c r="A332" s="4" t="s">
        <v>158</v>
      </c>
      <c r="B332" s="4" t="n">
        <v>12820110</v>
      </c>
      <c r="C332" s="4" t="s">
        <v>63</v>
      </c>
      <c r="D332" s="4" t="s">
        <v>104</v>
      </c>
      <c r="E332" s="4" t="n">
        <v>27</v>
      </c>
      <c r="F332" s="4" t="n">
        <v>3.51</v>
      </c>
      <c r="G332" s="4" t="n">
        <v>33</v>
      </c>
      <c r="H332" s="4" t="n">
        <v>4.23</v>
      </c>
      <c r="I332" s="4" t="n">
        <v>-0.72</v>
      </c>
    </row>
    <row r="333" customFormat="false" ht="15" hidden="false" customHeight="true" outlineLevel="0" collapsed="false">
      <c r="A333" s="4" t="s">
        <v>158</v>
      </c>
      <c r="B333" s="4" t="n">
        <v>12820110</v>
      </c>
      <c r="C333" s="4" t="s">
        <v>63</v>
      </c>
      <c r="D333" s="4" t="s">
        <v>106</v>
      </c>
      <c r="E333" s="4" t="n">
        <v>14</v>
      </c>
      <c r="F333" s="4" t="n">
        <v>1.82</v>
      </c>
      <c r="G333" s="4" t="n">
        <v>14</v>
      </c>
      <c r="H333" s="4" t="n">
        <v>1.79</v>
      </c>
      <c r="I333" s="4" t="n">
        <v>0.02</v>
      </c>
    </row>
    <row r="334" customFormat="false" ht="15" hidden="false" customHeight="true" outlineLevel="0" collapsed="false">
      <c r="A334" s="4" t="s">
        <v>158</v>
      </c>
      <c r="B334" s="4" t="n">
        <v>12820110</v>
      </c>
      <c r="C334" s="4" t="s">
        <v>63</v>
      </c>
      <c r="D334" s="4" t="s">
        <v>12</v>
      </c>
      <c r="E334" s="4" t="n">
        <v>7</v>
      </c>
      <c r="F334" s="4" t="n">
        <v>0.91</v>
      </c>
      <c r="G334" s="4" t="n">
        <v>18</v>
      </c>
      <c r="H334" s="4" t="n">
        <v>2.31</v>
      </c>
      <c r="I334" s="4" t="n">
        <v>-1.4</v>
      </c>
    </row>
    <row r="335" customFormat="false" ht="15" hidden="false" customHeight="true" outlineLevel="0" collapsed="false">
      <c r="A335" s="4" t="s">
        <v>158</v>
      </c>
      <c r="B335" s="4" t="n">
        <v>12820111</v>
      </c>
      <c r="C335" s="4" t="s">
        <v>65</v>
      </c>
      <c r="D335" s="4" t="s">
        <v>99</v>
      </c>
      <c r="E335" s="4" t="n">
        <v>402</v>
      </c>
      <c r="F335" s="4" t="n">
        <v>44.87</v>
      </c>
      <c r="G335" s="4" t="n">
        <v>404</v>
      </c>
      <c r="H335" s="4" t="n">
        <v>45.09</v>
      </c>
      <c r="I335" s="4" t="n">
        <v>-0.22</v>
      </c>
    </row>
    <row r="336" customFormat="false" ht="15" hidden="false" customHeight="true" outlineLevel="0" collapsed="false">
      <c r="A336" s="4" t="s">
        <v>158</v>
      </c>
      <c r="B336" s="4" t="n">
        <v>12820111</v>
      </c>
      <c r="C336" s="4" t="s">
        <v>65</v>
      </c>
      <c r="D336" s="4" t="s">
        <v>101</v>
      </c>
      <c r="E336" s="4" t="n">
        <v>118</v>
      </c>
      <c r="F336" s="4" t="n">
        <v>13.17</v>
      </c>
      <c r="G336" s="4" t="n">
        <v>92</v>
      </c>
      <c r="H336" s="4" t="n">
        <v>10.27</v>
      </c>
      <c r="I336" s="4" t="n">
        <v>2.9</v>
      </c>
    </row>
    <row r="337" customFormat="false" ht="15" hidden="false" customHeight="true" outlineLevel="0" collapsed="false">
      <c r="A337" s="4" t="s">
        <v>158</v>
      </c>
      <c r="B337" s="4" t="n">
        <v>12820111</v>
      </c>
      <c r="C337" s="4" t="s">
        <v>65</v>
      </c>
      <c r="D337" s="4" t="s">
        <v>100</v>
      </c>
      <c r="E337" s="4" t="n">
        <v>113</v>
      </c>
      <c r="F337" s="4" t="n">
        <v>12.61</v>
      </c>
      <c r="G337" s="4" t="n">
        <v>144</v>
      </c>
      <c r="H337" s="4" t="n">
        <v>16.07</v>
      </c>
      <c r="I337" s="4" t="n">
        <v>-3.46</v>
      </c>
    </row>
    <row r="338" customFormat="false" ht="15" hidden="false" customHeight="true" outlineLevel="0" collapsed="false">
      <c r="A338" s="4" t="s">
        <v>158</v>
      </c>
      <c r="B338" s="4" t="n">
        <v>12820111</v>
      </c>
      <c r="C338" s="4" t="s">
        <v>65</v>
      </c>
      <c r="D338" s="4" t="s">
        <v>103</v>
      </c>
      <c r="E338" s="4" t="n">
        <v>75</v>
      </c>
      <c r="F338" s="4" t="n">
        <v>8.37</v>
      </c>
      <c r="G338" s="4" t="n">
        <v>57</v>
      </c>
      <c r="H338" s="4" t="n">
        <v>6.36</v>
      </c>
      <c r="I338" s="4" t="n">
        <v>2.01</v>
      </c>
    </row>
    <row r="339" customFormat="false" ht="15" hidden="false" customHeight="true" outlineLevel="0" collapsed="false">
      <c r="A339" s="4" t="s">
        <v>158</v>
      </c>
      <c r="B339" s="4" t="n">
        <v>12820111</v>
      </c>
      <c r="C339" s="4" t="s">
        <v>65</v>
      </c>
      <c r="D339" s="4" t="s">
        <v>102</v>
      </c>
      <c r="E339" s="4" t="n">
        <v>98</v>
      </c>
      <c r="F339" s="4" t="n">
        <v>10.94</v>
      </c>
      <c r="G339" s="4" t="n">
        <v>112</v>
      </c>
      <c r="H339" s="4" t="n">
        <v>12.5</v>
      </c>
      <c r="I339" s="4" t="n">
        <v>-1.56</v>
      </c>
    </row>
    <row r="340" customFormat="false" ht="15" hidden="false" customHeight="true" outlineLevel="0" collapsed="false">
      <c r="A340" s="4" t="s">
        <v>158</v>
      </c>
      <c r="B340" s="4" t="n">
        <v>12820111</v>
      </c>
      <c r="C340" s="4" t="s">
        <v>65</v>
      </c>
      <c r="D340" s="4" t="s">
        <v>105</v>
      </c>
      <c r="E340" s="4" t="n">
        <v>13</v>
      </c>
      <c r="F340" s="4" t="n">
        <v>1.45</v>
      </c>
      <c r="G340" s="4" t="n">
        <v>17</v>
      </c>
      <c r="H340" s="4" t="n">
        <v>1.9</v>
      </c>
      <c r="I340" s="4" t="n">
        <v>-0.45</v>
      </c>
    </row>
    <row r="341" customFormat="false" ht="15" hidden="false" customHeight="true" outlineLevel="0" collapsed="false">
      <c r="A341" s="4" t="s">
        <v>158</v>
      </c>
      <c r="B341" s="4" t="n">
        <v>12820111</v>
      </c>
      <c r="C341" s="4" t="s">
        <v>65</v>
      </c>
      <c r="D341" s="4" t="s">
        <v>104</v>
      </c>
      <c r="E341" s="4" t="n">
        <v>52</v>
      </c>
      <c r="F341" s="4" t="n">
        <v>5.8</v>
      </c>
      <c r="G341" s="4" t="n">
        <v>32</v>
      </c>
      <c r="H341" s="4" t="n">
        <v>3.57</v>
      </c>
      <c r="I341" s="4" t="n">
        <v>2.23</v>
      </c>
    </row>
    <row r="342" customFormat="false" ht="15" hidden="false" customHeight="true" outlineLevel="0" collapsed="false">
      <c r="A342" s="4" t="s">
        <v>158</v>
      </c>
      <c r="B342" s="4" t="n">
        <v>12820111</v>
      </c>
      <c r="C342" s="4" t="s">
        <v>65</v>
      </c>
      <c r="D342" s="4" t="s">
        <v>106</v>
      </c>
      <c r="E342" s="4" t="n">
        <v>23</v>
      </c>
      <c r="F342" s="4" t="n">
        <v>2.57</v>
      </c>
      <c r="G342" s="4" t="n">
        <v>17</v>
      </c>
      <c r="H342" s="4" t="n">
        <v>1.9</v>
      </c>
      <c r="I342" s="4" t="n">
        <v>0.67</v>
      </c>
    </row>
    <row r="343" customFormat="false" ht="15" hidden="false" customHeight="true" outlineLevel="0" collapsed="false">
      <c r="A343" s="4" t="s">
        <v>158</v>
      </c>
      <c r="B343" s="4" t="n">
        <v>12820111</v>
      </c>
      <c r="C343" s="4" t="s">
        <v>65</v>
      </c>
      <c r="D343" s="4" t="s">
        <v>12</v>
      </c>
      <c r="E343" s="4" t="n">
        <v>2</v>
      </c>
      <c r="F343" s="4" t="n">
        <v>0.22</v>
      </c>
      <c r="G343" s="4" t="n">
        <v>21</v>
      </c>
      <c r="H343" s="4" t="n">
        <v>2.34</v>
      </c>
      <c r="I343" s="4" t="n">
        <v>-2.12</v>
      </c>
    </row>
    <row r="344" customFormat="false" ht="15" hidden="false" customHeight="true" outlineLevel="0" collapsed="false">
      <c r="A344" s="4" t="s">
        <v>158</v>
      </c>
      <c r="B344" s="4" t="n">
        <v>12820112</v>
      </c>
      <c r="C344" s="4" t="s">
        <v>67</v>
      </c>
      <c r="D344" s="4" t="s">
        <v>99</v>
      </c>
      <c r="E344" s="4" t="n">
        <v>474</v>
      </c>
      <c r="F344" s="4" t="n">
        <v>45.62</v>
      </c>
      <c r="G344" s="4" t="n">
        <v>324</v>
      </c>
      <c r="H344" s="4" t="n">
        <v>40.5</v>
      </c>
      <c r="I344" s="4" t="n">
        <v>5.12</v>
      </c>
    </row>
    <row r="345" customFormat="false" ht="15" hidden="false" customHeight="true" outlineLevel="0" collapsed="false">
      <c r="A345" s="4" t="s">
        <v>158</v>
      </c>
      <c r="B345" s="4" t="n">
        <v>12820112</v>
      </c>
      <c r="C345" s="4" t="s">
        <v>67</v>
      </c>
      <c r="D345" s="4" t="s">
        <v>101</v>
      </c>
      <c r="E345" s="4" t="n">
        <v>49</v>
      </c>
      <c r="F345" s="4" t="n">
        <v>4.72</v>
      </c>
      <c r="G345" s="4" t="n">
        <v>41</v>
      </c>
      <c r="H345" s="4" t="n">
        <v>5.12</v>
      </c>
      <c r="I345" s="4" t="n">
        <v>-0.41</v>
      </c>
    </row>
    <row r="346" customFormat="false" ht="15" hidden="false" customHeight="true" outlineLevel="0" collapsed="false">
      <c r="A346" s="4" t="s">
        <v>158</v>
      </c>
      <c r="B346" s="4" t="n">
        <v>12820112</v>
      </c>
      <c r="C346" s="4" t="s">
        <v>67</v>
      </c>
      <c r="D346" s="4" t="s">
        <v>100</v>
      </c>
      <c r="E346" s="4" t="n">
        <v>119</v>
      </c>
      <c r="F346" s="4" t="n">
        <v>11.45</v>
      </c>
      <c r="G346" s="4" t="n">
        <v>117</v>
      </c>
      <c r="H346" s="4" t="n">
        <v>14.62</v>
      </c>
      <c r="I346" s="4" t="n">
        <v>-3.17</v>
      </c>
    </row>
    <row r="347" customFormat="false" ht="15" hidden="false" customHeight="true" outlineLevel="0" collapsed="false">
      <c r="A347" s="4" t="s">
        <v>158</v>
      </c>
      <c r="B347" s="4" t="n">
        <v>12820112</v>
      </c>
      <c r="C347" s="4" t="s">
        <v>67</v>
      </c>
      <c r="D347" s="4" t="s">
        <v>103</v>
      </c>
      <c r="E347" s="4" t="n">
        <v>310</v>
      </c>
      <c r="F347" s="4" t="n">
        <v>29.84</v>
      </c>
      <c r="G347" s="4" t="n">
        <v>91</v>
      </c>
      <c r="H347" s="4" t="n">
        <v>11.38</v>
      </c>
      <c r="I347" s="4" t="n">
        <v>18.46</v>
      </c>
    </row>
    <row r="348" customFormat="false" ht="15" hidden="false" customHeight="true" outlineLevel="0" collapsed="false">
      <c r="A348" s="4" t="s">
        <v>158</v>
      </c>
      <c r="B348" s="4" t="n">
        <v>12820112</v>
      </c>
      <c r="C348" s="4" t="s">
        <v>67</v>
      </c>
      <c r="D348" s="4" t="s">
        <v>102</v>
      </c>
      <c r="E348" s="4" t="n">
        <v>36</v>
      </c>
      <c r="F348" s="4" t="n">
        <v>3.46</v>
      </c>
      <c r="G348" s="4" t="n">
        <v>21</v>
      </c>
      <c r="H348" s="4" t="n">
        <v>2.62</v>
      </c>
      <c r="I348" s="4" t="n">
        <v>0.84</v>
      </c>
    </row>
    <row r="349" customFormat="false" ht="15" hidden="false" customHeight="true" outlineLevel="0" collapsed="false">
      <c r="A349" s="4" t="s">
        <v>158</v>
      </c>
      <c r="B349" s="4" t="n">
        <v>12820112</v>
      </c>
      <c r="C349" s="4" t="s">
        <v>67</v>
      </c>
      <c r="D349" s="4" t="s">
        <v>105</v>
      </c>
      <c r="E349" s="4" t="n">
        <v>8</v>
      </c>
      <c r="F349" s="4" t="n">
        <v>0.77</v>
      </c>
      <c r="G349" s="4" t="n">
        <v>18</v>
      </c>
      <c r="H349" s="4" t="n">
        <v>2.25</v>
      </c>
      <c r="I349" s="4" t="n">
        <v>-1.48</v>
      </c>
    </row>
    <row r="350" customFormat="false" ht="15" hidden="false" customHeight="true" outlineLevel="0" collapsed="false">
      <c r="A350" s="4" t="s">
        <v>158</v>
      </c>
      <c r="B350" s="4" t="n">
        <v>12820112</v>
      </c>
      <c r="C350" s="4" t="s">
        <v>67</v>
      </c>
      <c r="D350" s="4" t="s">
        <v>104</v>
      </c>
      <c r="E350" s="4" t="n">
        <v>9</v>
      </c>
      <c r="F350" s="4" t="n">
        <v>0.87</v>
      </c>
      <c r="G350" s="4" t="n">
        <v>12</v>
      </c>
      <c r="H350" s="4" t="n">
        <v>1.5</v>
      </c>
      <c r="I350" s="4" t="n">
        <v>-0.63</v>
      </c>
    </row>
    <row r="351" customFormat="false" ht="15" hidden="false" customHeight="true" outlineLevel="0" collapsed="false">
      <c r="A351" s="4" t="s">
        <v>158</v>
      </c>
      <c r="B351" s="4" t="n">
        <v>12820112</v>
      </c>
      <c r="C351" s="4" t="s">
        <v>67</v>
      </c>
      <c r="D351" s="4" t="s">
        <v>106</v>
      </c>
      <c r="E351" s="4" t="n">
        <v>27</v>
      </c>
      <c r="F351" s="4" t="n">
        <v>2.6</v>
      </c>
      <c r="G351" s="4" t="n">
        <v>19</v>
      </c>
      <c r="H351" s="4" t="n">
        <v>2.38</v>
      </c>
      <c r="I351" s="4" t="n">
        <v>0.22</v>
      </c>
    </row>
    <row r="352" customFormat="false" ht="15" hidden="false" customHeight="true" outlineLevel="0" collapsed="false">
      <c r="A352" s="4" t="s">
        <v>158</v>
      </c>
      <c r="B352" s="4" t="n">
        <v>12820112</v>
      </c>
      <c r="C352" s="4" t="s">
        <v>67</v>
      </c>
      <c r="D352" s="4" t="s">
        <v>12</v>
      </c>
      <c r="E352" s="4" t="n">
        <v>7</v>
      </c>
      <c r="F352" s="4" t="n">
        <v>0.67</v>
      </c>
      <c r="G352" s="4" t="n">
        <v>157</v>
      </c>
      <c r="H352" s="4" t="n">
        <v>19.62</v>
      </c>
      <c r="I352" s="4" t="n">
        <v>-18.95</v>
      </c>
    </row>
    <row r="353" customFormat="false" ht="15" hidden="false" customHeight="true" outlineLevel="0" collapsed="false">
      <c r="A353" s="4" t="s">
        <v>158</v>
      </c>
      <c r="B353" s="4" t="n">
        <v>12820113</v>
      </c>
      <c r="C353" s="4" t="s">
        <v>69</v>
      </c>
      <c r="D353" s="4" t="s">
        <v>99</v>
      </c>
      <c r="E353" s="4" t="n">
        <v>460</v>
      </c>
      <c r="F353" s="4" t="n">
        <v>42.55</v>
      </c>
      <c r="G353" s="4" t="n">
        <v>359</v>
      </c>
      <c r="H353" s="4" t="n">
        <v>38.77</v>
      </c>
      <c r="I353" s="4" t="n">
        <v>3.78</v>
      </c>
    </row>
    <row r="354" customFormat="false" ht="15" hidden="false" customHeight="true" outlineLevel="0" collapsed="false">
      <c r="A354" s="4" t="s">
        <v>158</v>
      </c>
      <c r="B354" s="4" t="n">
        <v>12820113</v>
      </c>
      <c r="C354" s="4" t="s">
        <v>69</v>
      </c>
      <c r="D354" s="4" t="s">
        <v>101</v>
      </c>
      <c r="E354" s="4" t="n">
        <v>112</v>
      </c>
      <c r="F354" s="4" t="n">
        <v>10.36</v>
      </c>
      <c r="G354" s="4" t="n">
        <v>86</v>
      </c>
      <c r="H354" s="4" t="n">
        <v>9.29</v>
      </c>
      <c r="I354" s="4" t="n">
        <v>1.07</v>
      </c>
    </row>
    <row r="355" customFormat="false" ht="15" hidden="false" customHeight="true" outlineLevel="0" collapsed="false">
      <c r="A355" s="4" t="s">
        <v>158</v>
      </c>
      <c r="B355" s="4" t="n">
        <v>12820113</v>
      </c>
      <c r="C355" s="4" t="s">
        <v>69</v>
      </c>
      <c r="D355" s="4" t="s">
        <v>100</v>
      </c>
      <c r="E355" s="4" t="n">
        <v>148</v>
      </c>
      <c r="F355" s="4" t="n">
        <v>13.69</v>
      </c>
      <c r="G355" s="4" t="n">
        <v>176</v>
      </c>
      <c r="H355" s="4" t="n">
        <v>19.01</v>
      </c>
      <c r="I355" s="4" t="n">
        <v>-5.32</v>
      </c>
    </row>
    <row r="356" customFormat="false" ht="15" hidden="false" customHeight="true" outlineLevel="0" collapsed="false">
      <c r="A356" s="4" t="s">
        <v>158</v>
      </c>
      <c r="B356" s="4" t="n">
        <v>12820113</v>
      </c>
      <c r="C356" s="4" t="s">
        <v>69</v>
      </c>
      <c r="D356" s="4" t="s">
        <v>103</v>
      </c>
      <c r="E356" s="4" t="n">
        <v>193</v>
      </c>
      <c r="F356" s="4" t="n">
        <v>17.85</v>
      </c>
      <c r="G356" s="4" t="n">
        <v>92</v>
      </c>
      <c r="H356" s="4" t="n">
        <v>9.94</v>
      </c>
      <c r="I356" s="4" t="n">
        <v>7.92</v>
      </c>
    </row>
    <row r="357" customFormat="false" ht="15" hidden="false" customHeight="true" outlineLevel="0" collapsed="false">
      <c r="A357" s="4" t="s">
        <v>158</v>
      </c>
      <c r="B357" s="4" t="n">
        <v>12820113</v>
      </c>
      <c r="C357" s="4" t="s">
        <v>69</v>
      </c>
      <c r="D357" s="4" t="s">
        <v>102</v>
      </c>
      <c r="E357" s="4" t="n">
        <v>79</v>
      </c>
      <c r="F357" s="4" t="n">
        <v>7.31</v>
      </c>
      <c r="G357" s="4" t="n">
        <v>55</v>
      </c>
      <c r="H357" s="4" t="n">
        <v>5.94</v>
      </c>
      <c r="I357" s="4" t="n">
        <v>1.37</v>
      </c>
    </row>
    <row r="358" customFormat="false" ht="15" hidden="false" customHeight="true" outlineLevel="0" collapsed="false">
      <c r="A358" s="4" t="s">
        <v>158</v>
      </c>
      <c r="B358" s="4" t="n">
        <v>12820113</v>
      </c>
      <c r="C358" s="4" t="s">
        <v>69</v>
      </c>
      <c r="D358" s="4" t="s">
        <v>105</v>
      </c>
      <c r="E358" s="4" t="n">
        <v>18</v>
      </c>
      <c r="F358" s="4" t="n">
        <v>1.67</v>
      </c>
      <c r="G358" s="4" t="n">
        <v>25</v>
      </c>
      <c r="H358" s="4" t="n">
        <v>2.7</v>
      </c>
      <c r="I358" s="4" t="n">
        <v>-1.03</v>
      </c>
    </row>
    <row r="359" customFormat="false" ht="15" hidden="false" customHeight="true" outlineLevel="0" collapsed="false">
      <c r="A359" s="4" t="s">
        <v>158</v>
      </c>
      <c r="B359" s="4" t="n">
        <v>12820113</v>
      </c>
      <c r="C359" s="4" t="s">
        <v>69</v>
      </c>
      <c r="D359" s="4" t="s">
        <v>104</v>
      </c>
      <c r="E359" s="4" t="n">
        <v>29</v>
      </c>
      <c r="F359" s="4" t="n">
        <v>2.68</v>
      </c>
      <c r="G359" s="4" t="n">
        <v>38</v>
      </c>
      <c r="H359" s="4" t="n">
        <v>4.1</v>
      </c>
      <c r="I359" s="4" t="n">
        <v>-1.42</v>
      </c>
    </row>
    <row r="360" customFormat="false" ht="15" hidden="false" customHeight="true" outlineLevel="0" collapsed="false">
      <c r="A360" s="4" t="s">
        <v>158</v>
      </c>
      <c r="B360" s="4" t="n">
        <v>12820113</v>
      </c>
      <c r="C360" s="4" t="s">
        <v>69</v>
      </c>
      <c r="D360" s="4" t="s">
        <v>106</v>
      </c>
      <c r="E360" s="4" t="n">
        <v>37</v>
      </c>
      <c r="F360" s="4" t="n">
        <v>3.42</v>
      </c>
      <c r="G360" s="4" t="n">
        <v>25</v>
      </c>
      <c r="H360" s="4" t="n">
        <v>2.7</v>
      </c>
      <c r="I360" s="4" t="n">
        <v>0.72</v>
      </c>
    </row>
    <row r="361" customFormat="false" ht="15" hidden="false" customHeight="true" outlineLevel="0" collapsed="false">
      <c r="A361" s="4" t="s">
        <v>158</v>
      </c>
      <c r="B361" s="4" t="n">
        <v>12820113</v>
      </c>
      <c r="C361" s="4" t="s">
        <v>69</v>
      </c>
      <c r="D361" s="4" t="s">
        <v>12</v>
      </c>
      <c r="E361" s="4" t="n">
        <v>5</v>
      </c>
      <c r="F361" s="4" t="n">
        <v>0.46</v>
      </c>
      <c r="G361" s="4" t="n">
        <v>70</v>
      </c>
      <c r="H361" s="4" t="n">
        <v>7.56</v>
      </c>
      <c r="I361" s="4" t="n">
        <v>-7.1</v>
      </c>
    </row>
    <row r="362" customFormat="false" ht="15" hidden="false" customHeight="true" outlineLevel="0" collapsed="false">
      <c r="A362" s="4" t="s">
        <v>158</v>
      </c>
      <c r="B362" s="4" t="n">
        <v>12820114</v>
      </c>
      <c r="C362" s="4" t="s">
        <v>71</v>
      </c>
      <c r="D362" s="4" t="s">
        <v>99</v>
      </c>
      <c r="E362" s="4" t="n">
        <v>531</v>
      </c>
      <c r="F362" s="4" t="n">
        <v>43.63</v>
      </c>
      <c r="G362" s="4" t="n">
        <v>517</v>
      </c>
      <c r="H362" s="4" t="n">
        <v>44.65</v>
      </c>
      <c r="I362" s="4" t="n">
        <v>-1.01</v>
      </c>
    </row>
    <row r="363" customFormat="false" ht="15" hidden="false" customHeight="true" outlineLevel="0" collapsed="false">
      <c r="A363" s="4" t="s">
        <v>158</v>
      </c>
      <c r="B363" s="4" t="n">
        <v>12820114</v>
      </c>
      <c r="C363" s="4" t="s">
        <v>71</v>
      </c>
      <c r="D363" s="4" t="s">
        <v>101</v>
      </c>
      <c r="E363" s="4" t="n">
        <v>171</v>
      </c>
      <c r="F363" s="4" t="n">
        <v>14.05</v>
      </c>
      <c r="G363" s="4" t="n">
        <v>142</v>
      </c>
      <c r="H363" s="4" t="n">
        <v>12.26</v>
      </c>
      <c r="I363" s="4" t="n">
        <v>1.79</v>
      </c>
    </row>
    <row r="364" customFormat="false" ht="15" hidden="false" customHeight="true" outlineLevel="0" collapsed="false">
      <c r="A364" s="4" t="s">
        <v>158</v>
      </c>
      <c r="B364" s="4" t="n">
        <v>12820114</v>
      </c>
      <c r="C364" s="4" t="s">
        <v>71</v>
      </c>
      <c r="D364" s="4" t="s">
        <v>100</v>
      </c>
      <c r="E364" s="4" t="n">
        <v>214</v>
      </c>
      <c r="F364" s="4" t="n">
        <v>17.58</v>
      </c>
      <c r="G364" s="4" t="n">
        <v>228</v>
      </c>
      <c r="H364" s="4" t="n">
        <v>19.69</v>
      </c>
      <c r="I364" s="4" t="n">
        <v>-2.1</v>
      </c>
    </row>
    <row r="365" customFormat="false" ht="15" hidden="false" customHeight="true" outlineLevel="0" collapsed="false">
      <c r="A365" s="4" t="s">
        <v>158</v>
      </c>
      <c r="B365" s="4" t="n">
        <v>12820114</v>
      </c>
      <c r="C365" s="4" t="s">
        <v>71</v>
      </c>
      <c r="D365" s="4" t="s">
        <v>103</v>
      </c>
      <c r="E365" s="4" t="n">
        <v>57</v>
      </c>
      <c r="F365" s="4" t="n">
        <v>4.68</v>
      </c>
      <c r="G365" s="4" t="n">
        <v>42</v>
      </c>
      <c r="H365" s="4" t="n">
        <v>3.63</v>
      </c>
      <c r="I365" s="4" t="n">
        <v>1.06</v>
      </c>
    </row>
    <row r="366" customFormat="false" ht="15" hidden="false" customHeight="true" outlineLevel="0" collapsed="false">
      <c r="A366" s="4" t="s">
        <v>158</v>
      </c>
      <c r="B366" s="4" t="n">
        <v>12820114</v>
      </c>
      <c r="C366" s="4" t="s">
        <v>71</v>
      </c>
      <c r="D366" s="4" t="s">
        <v>102</v>
      </c>
      <c r="E366" s="4" t="n">
        <v>139</v>
      </c>
      <c r="F366" s="4" t="n">
        <v>11.42</v>
      </c>
      <c r="G366" s="4" t="n">
        <v>112</v>
      </c>
      <c r="H366" s="4" t="n">
        <v>9.67</v>
      </c>
      <c r="I366" s="4" t="n">
        <v>1.75</v>
      </c>
    </row>
    <row r="367" customFormat="false" ht="15" hidden="false" customHeight="true" outlineLevel="0" collapsed="false">
      <c r="A367" s="4" t="s">
        <v>158</v>
      </c>
      <c r="B367" s="4" t="n">
        <v>12820114</v>
      </c>
      <c r="C367" s="4" t="s">
        <v>71</v>
      </c>
      <c r="D367" s="4" t="s">
        <v>105</v>
      </c>
      <c r="E367" s="4" t="n">
        <v>16</v>
      </c>
      <c r="F367" s="4" t="n">
        <v>1.31</v>
      </c>
      <c r="G367" s="4" t="n">
        <v>30</v>
      </c>
      <c r="H367" s="4" t="n">
        <v>2.59</v>
      </c>
      <c r="I367" s="4" t="n">
        <v>-1.28</v>
      </c>
    </row>
    <row r="368" customFormat="false" ht="15" hidden="false" customHeight="true" outlineLevel="0" collapsed="false">
      <c r="A368" s="4" t="s">
        <v>158</v>
      </c>
      <c r="B368" s="4" t="n">
        <v>12820114</v>
      </c>
      <c r="C368" s="4" t="s">
        <v>71</v>
      </c>
      <c r="D368" s="4" t="s">
        <v>104</v>
      </c>
      <c r="E368" s="4" t="n">
        <v>55</v>
      </c>
      <c r="F368" s="4" t="n">
        <v>4.52</v>
      </c>
      <c r="G368" s="4" t="n">
        <v>48</v>
      </c>
      <c r="H368" s="4" t="n">
        <v>4.15</v>
      </c>
      <c r="I368" s="4" t="n">
        <v>0.37</v>
      </c>
    </row>
    <row r="369" customFormat="false" ht="15" hidden="false" customHeight="true" outlineLevel="0" collapsed="false">
      <c r="A369" s="4" t="s">
        <v>158</v>
      </c>
      <c r="B369" s="4" t="n">
        <v>12820114</v>
      </c>
      <c r="C369" s="4" t="s">
        <v>71</v>
      </c>
      <c r="D369" s="4" t="s">
        <v>106</v>
      </c>
      <c r="E369" s="4" t="n">
        <v>26</v>
      </c>
      <c r="F369" s="4" t="n">
        <v>2.14</v>
      </c>
      <c r="G369" s="4" t="n">
        <v>13</v>
      </c>
      <c r="H369" s="4" t="n">
        <v>1.12</v>
      </c>
      <c r="I369" s="4" t="n">
        <v>1.01</v>
      </c>
    </row>
    <row r="370" customFormat="false" ht="15" hidden="false" customHeight="true" outlineLevel="0" collapsed="false">
      <c r="A370" s="4" t="s">
        <v>158</v>
      </c>
      <c r="B370" s="4" t="n">
        <v>12820114</v>
      </c>
      <c r="C370" s="4" t="s">
        <v>71</v>
      </c>
      <c r="D370" s="4" t="s">
        <v>12</v>
      </c>
      <c r="E370" s="4" t="n">
        <v>8</v>
      </c>
      <c r="F370" s="4" t="n">
        <v>0.66</v>
      </c>
      <c r="G370" s="4" t="n">
        <v>26</v>
      </c>
      <c r="H370" s="4" t="n">
        <v>2.25</v>
      </c>
      <c r="I370" s="4" t="n">
        <v>-1.59</v>
      </c>
    </row>
    <row r="371" customFormat="false" ht="15" hidden="false" customHeight="true" outlineLevel="0" collapsed="false">
      <c r="A371" s="4" t="s">
        <v>158</v>
      </c>
      <c r="B371" s="4" t="n">
        <v>12820115</v>
      </c>
      <c r="C371" s="4" t="s">
        <v>73</v>
      </c>
      <c r="D371" s="4" t="s">
        <v>99</v>
      </c>
      <c r="E371" s="4" t="n">
        <v>466</v>
      </c>
      <c r="F371" s="4" t="n">
        <v>34.42</v>
      </c>
      <c r="G371" s="4" t="n">
        <v>542</v>
      </c>
      <c r="H371" s="4" t="n">
        <v>38.71</v>
      </c>
      <c r="I371" s="4" t="n">
        <v>-4.3</v>
      </c>
    </row>
    <row r="372" customFormat="false" ht="15" hidden="false" customHeight="true" outlineLevel="0" collapsed="false">
      <c r="A372" s="4" t="s">
        <v>158</v>
      </c>
      <c r="B372" s="4" t="n">
        <v>12820115</v>
      </c>
      <c r="C372" s="4" t="s">
        <v>73</v>
      </c>
      <c r="D372" s="4" t="s">
        <v>101</v>
      </c>
      <c r="E372" s="4" t="n">
        <v>279</v>
      </c>
      <c r="F372" s="4" t="n">
        <v>20.61</v>
      </c>
      <c r="G372" s="4" t="n">
        <v>224</v>
      </c>
      <c r="H372" s="4" t="n">
        <v>16</v>
      </c>
      <c r="I372" s="4" t="n">
        <v>4.61</v>
      </c>
    </row>
    <row r="373" customFormat="false" ht="15" hidden="false" customHeight="true" outlineLevel="0" collapsed="false">
      <c r="A373" s="4" t="s">
        <v>158</v>
      </c>
      <c r="B373" s="4" t="n">
        <v>12820115</v>
      </c>
      <c r="C373" s="4" t="s">
        <v>73</v>
      </c>
      <c r="D373" s="4" t="s">
        <v>100</v>
      </c>
      <c r="E373" s="4" t="n">
        <v>203</v>
      </c>
      <c r="F373" s="4" t="n">
        <v>14.99</v>
      </c>
      <c r="G373" s="4" t="n">
        <v>258</v>
      </c>
      <c r="H373" s="4" t="n">
        <v>18.43</v>
      </c>
      <c r="I373" s="4" t="n">
        <v>-3.44</v>
      </c>
    </row>
    <row r="374" customFormat="false" ht="15" hidden="false" customHeight="true" outlineLevel="0" collapsed="false">
      <c r="A374" s="4" t="s">
        <v>158</v>
      </c>
      <c r="B374" s="4" t="n">
        <v>12820115</v>
      </c>
      <c r="C374" s="4" t="s">
        <v>73</v>
      </c>
      <c r="D374" s="4" t="s">
        <v>103</v>
      </c>
      <c r="E374" s="4" t="n">
        <v>30</v>
      </c>
      <c r="F374" s="4" t="n">
        <v>2.22</v>
      </c>
      <c r="G374" s="4" t="n">
        <v>37</v>
      </c>
      <c r="H374" s="4" t="n">
        <v>2.64</v>
      </c>
      <c r="I374" s="4" t="n">
        <v>-0.43</v>
      </c>
    </row>
    <row r="375" customFormat="false" ht="15" hidden="false" customHeight="true" outlineLevel="0" collapsed="false">
      <c r="A375" s="4" t="s">
        <v>158</v>
      </c>
      <c r="B375" s="4" t="n">
        <v>12820115</v>
      </c>
      <c r="C375" s="4" t="s">
        <v>73</v>
      </c>
      <c r="D375" s="4" t="s">
        <v>102</v>
      </c>
      <c r="E375" s="4" t="n">
        <v>231</v>
      </c>
      <c r="F375" s="4" t="n">
        <v>17.06</v>
      </c>
      <c r="G375" s="4" t="n">
        <v>211</v>
      </c>
      <c r="H375" s="4" t="n">
        <v>15.07</v>
      </c>
      <c r="I375" s="4" t="n">
        <v>1.99</v>
      </c>
    </row>
    <row r="376" customFormat="false" ht="15" hidden="false" customHeight="true" outlineLevel="0" collapsed="false">
      <c r="A376" s="4" t="s">
        <v>158</v>
      </c>
      <c r="B376" s="4" t="n">
        <v>12820115</v>
      </c>
      <c r="C376" s="4" t="s">
        <v>73</v>
      </c>
      <c r="D376" s="4" t="s">
        <v>105</v>
      </c>
      <c r="E376" s="4" t="n">
        <v>25</v>
      </c>
      <c r="F376" s="4" t="n">
        <v>1.85</v>
      </c>
      <c r="G376" s="4" t="n">
        <v>27</v>
      </c>
      <c r="H376" s="4" t="n">
        <v>1.93</v>
      </c>
      <c r="I376" s="4" t="n">
        <v>-0.08</v>
      </c>
    </row>
    <row r="377" customFormat="false" ht="15" hidden="false" customHeight="true" outlineLevel="0" collapsed="false">
      <c r="A377" s="4" t="s">
        <v>158</v>
      </c>
      <c r="B377" s="4" t="n">
        <v>12820115</v>
      </c>
      <c r="C377" s="4" t="s">
        <v>73</v>
      </c>
      <c r="D377" s="4" t="s">
        <v>104</v>
      </c>
      <c r="E377" s="4" t="n">
        <v>79</v>
      </c>
      <c r="F377" s="4" t="n">
        <v>5.83</v>
      </c>
      <c r="G377" s="4" t="n">
        <v>70</v>
      </c>
      <c r="H377" s="4" t="n">
        <v>5</v>
      </c>
      <c r="I377" s="4" t="n">
        <v>0.83</v>
      </c>
    </row>
    <row r="378" customFormat="false" ht="15" hidden="false" customHeight="true" outlineLevel="0" collapsed="false">
      <c r="A378" s="4" t="s">
        <v>158</v>
      </c>
      <c r="B378" s="4" t="n">
        <v>12820115</v>
      </c>
      <c r="C378" s="4" t="s">
        <v>73</v>
      </c>
      <c r="D378" s="4" t="s">
        <v>106</v>
      </c>
      <c r="E378" s="4" t="n">
        <v>34</v>
      </c>
      <c r="F378" s="4" t="n">
        <v>2.51</v>
      </c>
      <c r="G378" s="4" t="n">
        <v>21</v>
      </c>
      <c r="H378" s="4" t="n">
        <v>1.5</v>
      </c>
      <c r="I378" s="4" t="n">
        <v>1.01</v>
      </c>
    </row>
    <row r="379" customFormat="false" ht="15" hidden="false" customHeight="true" outlineLevel="0" collapsed="false">
      <c r="A379" s="4" t="s">
        <v>158</v>
      </c>
      <c r="B379" s="4" t="n">
        <v>12820115</v>
      </c>
      <c r="C379" s="4" t="s">
        <v>73</v>
      </c>
      <c r="D379" s="4" t="s">
        <v>12</v>
      </c>
      <c r="E379" s="4" t="n">
        <v>7</v>
      </c>
      <c r="F379" s="4" t="n">
        <v>0.52</v>
      </c>
      <c r="G379" s="4" t="n">
        <v>10</v>
      </c>
      <c r="H379" s="4" t="n">
        <v>0.71</v>
      </c>
      <c r="I379" s="4" t="n">
        <v>-0.2</v>
      </c>
    </row>
    <row r="380" customFormat="false" ht="15" hidden="false" customHeight="true" outlineLevel="0" collapsed="false">
      <c r="A380" s="4" t="s">
        <v>158</v>
      </c>
      <c r="B380" s="4" t="n">
        <v>12820116</v>
      </c>
      <c r="C380" s="4" t="s">
        <v>75</v>
      </c>
      <c r="D380" s="4" t="s">
        <v>99</v>
      </c>
      <c r="E380" s="4" t="n">
        <v>328</v>
      </c>
      <c r="F380" s="4" t="n">
        <v>21.94</v>
      </c>
      <c r="G380" s="4" t="n">
        <v>374</v>
      </c>
      <c r="H380" s="4" t="n">
        <v>24.87</v>
      </c>
      <c r="I380" s="4" t="n">
        <v>-2.93</v>
      </c>
    </row>
    <row r="381" customFormat="false" ht="15" hidden="false" customHeight="true" outlineLevel="0" collapsed="false">
      <c r="A381" s="4" t="s">
        <v>158</v>
      </c>
      <c r="B381" s="4" t="n">
        <v>12820116</v>
      </c>
      <c r="C381" s="4" t="s">
        <v>75</v>
      </c>
      <c r="D381" s="4" t="s">
        <v>101</v>
      </c>
      <c r="E381" s="4" t="n">
        <v>434</v>
      </c>
      <c r="F381" s="4" t="n">
        <v>29.03</v>
      </c>
      <c r="G381" s="4" t="n">
        <v>418</v>
      </c>
      <c r="H381" s="4" t="n">
        <v>27.79</v>
      </c>
      <c r="I381" s="4" t="n">
        <v>1.24</v>
      </c>
    </row>
    <row r="382" customFormat="false" ht="15" hidden="false" customHeight="true" outlineLevel="0" collapsed="false">
      <c r="A382" s="4" t="s">
        <v>158</v>
      </c>
      <c r="B382" s="4" t="n">
        <v>12820116</v>
      </c>
      <c r="C382" s="4" t="s">
        <v>75</v>
      </c>
      <c r="D382" s="4" t="s">
        <v>100</v>
      </c>
      <c r="E382" s="4" t="n">
        <v>165</v>
      </c>
      <c r="F382" s="4" t="n">
        <v>11.04</v>
      </c>
      <c r="G382" s="4" t="n">
        <v>191</v>
      </c>
      <c r="H382" s="4" t="n">
        <v>12.7</v>
      </c>
      <c r="I382" s="4" t="n">
        <v>-1.66</v>
      </c>
    </row>
    <row r="383" customFormat="false" ht="15" hidden="false" customHeight="true" outlineLevel="0" collapsed="false">
      <c r="A383" s="4" t="s">
        <v>158</v>
      </c>
      <c r="B383" s="4" t="n">
        <v>12820116</v>
      </c>
      <c r="C383" s="4" t="s">
        <v>75</v>
      </c>
      <c r="D383" s="4" t="s">
        <v>103</v>
      </c>
      <c r="E383" s="4" t="n">
        <v>18</v>
      </c>
      <c r="F383" s="4" t="n">
        <v>1.2</v>
      </c>
      <c r="G383" s="4" t="n">
        <v>29</v>
      </c>
      <c r="H383" s="4" t="n">
        <v>1.93</v>
      </c>
      <c r="I383" s="4" t="n">
        <v>-0.72</v>
      </c>
    </row>
    <row r="384" customFormat="false" ht="15" hidden="false" customHeight="true" outlineLevel="0" collapsed="false">
      <c r="A384" s="4" t="s">
        <v>158</v>
      </c>
      <c r="B384" s="4" t="n">
        <v>12820116</v>
      </c>
      <c r="C384" s="4" t="s">
        <v>75</v>
      </c>
      <c r="D384" s="4" t="s">
        <v>102</v>
      </c>
      <c r="E384" s="4" t="n">
        <v>334</v>
      </c>
      <c r="F384" s="4" t="n">
        <v>22.34</v>
      </c>
      <c r="G384" s="4" t="n">
        <v>297</v>
      </c>
      <c r="H384" s="4" t="n">
        <v>19.75</v>
      </c>
      <c r="I384" s="4" t="n">
        <v>2.59</v>
      </c>
    </row>
    <row r="385" customFormat="false" ht="15" hidden="false" customHeight="true" outlineLevel="0" collapsed="false">
      <c r="A385" s="4" t="s">
        <v>158</v>
      </c>
      <c r="B385" s="4" t="n">
        <v>12820116</v>
      </c>
      <c r="C385" s="4" t="s">
        <v>75</v>
      </c>
      <c r="D385" s="4" t="s">
        <v>105</v>
      </c>
      <c r="E385" s="4" t="n">
        <v>49</v>
      </c>
      <c r="F385" s="4" t="n">
        <v>3.28</v>
      </c>
      <c r="G385" s="4" t="n">
        <v>45</v>
      </c>
      <c r="H385" s="4" t="n">
        <v>2.99</v>
      </c>
      <c r="I385" s="4" t="n">
        <v>0.29</v>
      </c>
    </row>
    <row r="386" customFormat="false" ht="15" hidden="false" customHeight="true" outlineLevel="0" collapsed="false">
      <c r="A386" s="4" t="s">
        <v>158</v>
      </c>
      <c r="B386" s="4" t="n">
        <v>12820116</v>
      </c>
      <c r="C386" s="4" t="s">
        <v>75</v>
      </c>
      <c r="D386" s="4" t="s">
        <v>104</v>
      </c>
      <c r="E386" s="4" t="n">
        <v>112</v>
      </c>
      <c r="F386" s="4" t="n">
        <v>7.49</v>
      </c>
      <c r="G386" s="4" t="n">
        <v>108</v>
      </c>
      <c r="H386" s="4" t="n">
        <v>7.18</v>
      </c>
      <c r="I386" s="4" t="n">
        <v>0.31</v>
      </c>
    </row>
    <row r="387" customFormat="false" ht="15" hidden="false" customHeight="true" outlineLevel="0" collapsed="false">
      <c r="A387" s="4" t="s">
        <v>158</v>
      </c>
      <c r="B387" s="4" t="n">
        <v>12820116</v>
      </c>
      <c r="C387" s="4" t="s">
        <v>75</v>
      </c>
      <c r="D387" s="4" t="s">
        <v>106</v>
      </c>
      <c r="E387" s="4" t="n">
        <v>49</v>
      </c>
      <c r="F387" s="4" t="n">
        <v>3.28</v>
      </c>
      <c r="G387" s="4" t="n">
        <v>32</v>
      </c>
      <c r="H387" s="4" t="n">
        <v>2.13</v>
      </c>
      <c r="I387" s="4" t="n">
        <v>1.15</v>
      </c>
    </row>
    <row r="388" customFormat="false" ht="15" hidden="false" customHeight="true" outlineLevel="0" collapsed="false">
      <c r="A388" s="4" t="s">
        <v>158</v>
      </c>
      <c r="B388" s="4" t="n">
        <v>12820116</v>
      </c>
      <c r="C388" s="4" t="s">
        <v>75</v>
      </c>
      <c r="D388" s="4" t="s">
        <v>12</v>
      </c>
      <c r="E388" s="4" t="n">
        <v>6</v>
      </c>
      <c r="F388" s="4" t="n">
        <v>0.4</v>
      </c>
      <c r="G388" s="4" t="n">
        <v>10</v>
      </c>
      <c r="H388" s="4" t="n">
        <v>0.66</v>
      </c>
      <c r="I388" s="4" t="n">
        <v>-0.26</v>
      </c>
    </row>
    <row r="389" customFormat="false" ht="15" hidden="false" customHeight="true" outlineLevel="0" collapsed="false">
      <c r="A389" s="4" t="s">
        <v>158</v>
      </c>
      <c r="B389" s="4" t="n">
        <v>12820117</v>
      </c>
      <c r="C389" s="4" t="s">
        <v>77</v>
      </c>
      <c r="D389" s="4" t="s">
        <v>99</v>
      </c>
      <c r="E389" s="4" t="n">
        <v>243</v>
      </c>
      <c r="F389" s="4" t="n">
        <v>25.96</v>
      </c>
      <c r="G389" s="4" t="n">
        <v>154</v>
      </c>
      <c r="H389" s="4" t="n">
        <v>22.85</v>
      </c>
      <c r="I389" s="4" t="n">
        <v>3.11</v>
      </c>
    </row>
    <row r="390" customFormat="false" ht="15" hidden="false" customHeight="true" outlineLevel="0" collapsed="false">
      <c r="A390" s="4" t="s">
        <v>158</v>
      </c>
      <c r="B390" s="4" t="n">
        <v>12820117</v>
      </c>
      <c r="C390" s="4" t="s">
        <v>77</v>
      </c>
      <c r="D390" s="4" t="s">
        <v>101</v>
      </c>
      <c r="E390" s="4" t="n">
        <v>311</v>
      </c>
      <c r="F390" s="4" t="n">
        <v>33.23</v>
      </c>
      <c r="G390" s="4" t="n">
        <v>207</v>
      </c>
      <c r="H390" s="4" t="n">
        <v>30.71</v>
      </c>
      <c r="I390" s="4" t="n">
        <v>2.51</v>
      </c>
    </row>
    <row r="391" customFormat="false" ht="15" hidden="false" customHeight="true" outlineLevel="0" collapsed="false">
      <c r="A391" s="4" t="s">
        <v>158</v>
      </c>
      <c r="B391" s="4" t="n">
        <v>12820117</v>
      </c>
      <c r="C391" s="4" t="s">
        <v>77</v>
      </c>
      <c r="D391" s="4" t="s">
        <v>100</v>
      </c>
      <c r="E391" s="4" t="n">
        <v>72</v>
      </c>
      <c r="F391" s="4" t="n">
        <v>7.69</v>
      </c>
      <c r="G391" s="4" t="n">
        <v>81</v>
      </c>
      <c r="H391" s="4" t="n">
        <v>12.02</v>
      </c>
      <c r="I391" s="4" t="n">
        <v>-4.33</v>
      </c>
    </row>
    <row r="392" customFormat="false" ht="15" hidden="false" customHeight="true" outlineLevel="0" collapsed="false">
      <c r="A392" s="4" t="s">
        <v>158</v>
      </c>
      <c r="B392" s="4" t="n">
        <v>12820117</v>
      </c>
      <c r="C392" s="4" t="s">
        <v>77</v>
      </c>
      <c r="D392" s="4" t="s">
        <v>103</v>
      </c>
      <c r="E392" s="4" t="n">
        <v>17</v>
      </c>
      <c r="F392" s="4" t="n">
        <v>1.82</v>
      </c>
      <c r="G392" s="4" t="n">
        <v>13</v>
      </c>
      <c r="H392" s="4" t="n">
        <v>1.93</v>
      </c>
      <c r="I392" s="4" t="n">
        <v>-0.11</v>
      </c>
    </row>
    <row r="393" customFormat="false" ht="15" hidden="false" customHeight="true" outlineLevel="0" collapsed="false">
      <c r="A393" s="4" t="s">
        <v>158</v>
      </c>
      <c r="B393" s="4" t="n">
        <v>12820117</v>
      </c>
      <c r="C393" s="4" t="s">
        <v>77</v>
      </c>
      <c r="D393" s="4" t="s">
        <v>102</v>
      </c>
      <c r="E393" s="4" t="n">
        <v>188</v>
      </c>
      <c r="F393" s="4" t="n">
        <v>20.09</v>
      </c>
      <c r="G393" s="4" t="n">
        <v>139</v>
      </c>
      <c r="H393" s="4" t="n">
        <v>20.62</v>
      </c>
      <c r="I393" s="4" t="n">
        <v>-0.54</v>
      </c>
    </row>
    <row r="394" customFormat="false" ht="15" hidden="false" customHeight="true" outlineLevel="0" collapsed="false">
      <c r="A394" s="4" t="s">
        <v>158</v>
      </c>
      <c r="B394" s="4" t="n">
        <v>12820117</v>
      </c>
      <c r="C394" s="4" t="s">
        <v>77</v>
      </c>
      <c r="D394" s="4" t="s">
        <v>105</v>
      </c>
      <c r="E394" s="4" t="n">
        <v>22</v>
      </c>
      <c r="F394" s="4" t="n">
        <v>2.35</v>
      </c>
      <c r="G394" s="4" t="n">
        <v>18</v>
      </c>
      <c r="H394" s="4" t="n">
        <v>2.67</v>
      </c>
      <c r="I394" s="4" t="n">
        <v>-0.32</v>
      </c>
    </row>
    <row r="395" customFormat="false" ht="15" hidden="false" customHeight="true" outlineLevel="0" collapsed="false">
      <c r="A395" s="4" t="s">
        <v>158</v>
      </c>
      <c r="B395" s="4" t="n">
        <v>12820117</v>
      </c>
      <c r="C395" s="4" t="s">
        <v>77</v>
      </c>
      <c r="D395" s="4" t="s">
        <v>104</v>
      </c>
      <c r="E395" s="4" t="n">
        <v>57</v>
      </c>
      <c r="F395" s="4" t="n">
        <v>6.09</v>
      </c>
      <c r="G395" s="4" t="n">
        <v>43</v>
      </c>
      <c r="H395" s="4" t="n">
        <v>6.38</v>
      </c>
      <c r="I395" s="4" t="n">
        <v>-0.29</v>
      </c>
    </row>
    <row r="396" customFormat="false" ht="15" hidden="false" customHeight="true" outlineLevel="0" collapsed="false">
      <c r="A396" s="4" t="s">
        <v>158</v>
      </c>
      <c r="B396" s="4" t="n">
        <v>12820117</v>
      </c>
      <c r="C396" s="4" t="s">
        <v>77</v>
      </c>
      <c r="D396" s="4" t="s">
        <v>106</v>
      </c>
      <c r="E396" s="4" t="n">
        <v>24</v>
      </c>
      <c r="F396" s="4" t="n">
        <v>2.56</v>
      </c>
      <c r="G396" s="4" t="n">
        <v>14</v>
      </c>
      <c r="H396" s="4" t="n">
        <v>2.08</v>
      </c>
      <c r="I396" s="4" t="n">
        <v>0.49</v>
      </c>
    </row>
    <row r="397" customFormat="false" ht="15" hidden="false" customHeight="true" outlineLevel="0" collapsed="false">
      <c r="A397" s="4" t="s">
        <v>158</v>
      </c>
      <c r="B397" s="4" t="n">
        <v>12820117</v>
      </c>
      <c r="C397" s="4" t="s">
        <v>77</v>
      </c>
      <c r="D397" s="4" t="s">
        <v>12</v>
      </c>
      <c r="E397" s="4" t="n">
        <v>2</v>
      </c>
      <c r="F397" s="4" t="n">
        <v>0.21</v>
      </c>
      <c r="G397" s="4" t="n">
        <v>5</v>
      </c>
      <c r="H397" s="4" t="n">
        <v>0.74</v>
      </c>
      <c r="I397" s="4" t="n">
        <v>-0.53</v>
      </c>
    </row>
    <row r="398" customFormat="false" ht="15" hidden="false" customHeight="true" outlineLevel="0" collapsed="false">
      <c r="A398" s="4" t="s">
        <v>158</v>
      </c>
      <c r="B398" s="4" t="n">
        <v>12820118</v>
      </c>
      <c r="C398" s="4" t="s">
        <v>79</v>
      </c>
      <c r="D398" s="4" t="s">
        <v>99</v>
      </c>
      <c r="E398" s="4" t="n">
        <v>398</v>
      </c>
      <c r="F398" s="4" t="n">
        <v>41.5</v>
      </c>
      <c r="G398" s="4" t="n">
        <v>328</v>
      </c>
      <c r="H398" s="4" t="n">
        <v>37.06</v>
      </c>
      <c r="I398" s="4" t="n">
        <v>4.44</v>
      </c>
    </row>
    <row r="399" customFormat="false" ht="15" hidden="false" customHeight="true" outlineLevel="0" collapsed="false">
      <c r="A399" s="4" t="s">
        <v>158</v>
      </c>
      <c r="B399" s="4" t="n">
        <v>12820118</v>
      </c>
      <c r="C399" s="4" t="s">
        <v>79</v>
      </c>
      <c r="D399" s="4" t="s">
        <v>101</v>
      </c>
      <c r="E399" s="4" t="n">
        <v>70</v>
      </c>
      <c r="F399" s="4" t="n">
        <v>7.3</v>
      </c>
      <c r="G399" s="4" t="n">
        <v>97</v>
      </c>
      <c r="H399" s="4" t="n">
        <v>10.96</v>
      </c>
      <c r="I399" s="4" t="n">
        <v>-3.66</v>
      </c>
    </row>
    <row r="400" customFormat="false" ht="15" hidden="false" customHeight="true" outlineLevel="0" collapsed="false">
      <c r="A400" s="4" t="s">
        <v>158</v>
      </c>
      <c r="B400" s="4" t="n">
        <v>12820118</v>
      </c>
      <c r="C400" s="4" t="s">
        <v>79</v>
      </c>
      <c r="D400" s="4" t="s">
        <v>100</v>
      </c>
      <c r="E400" s="4" t="n">
        <v>153</v>
      </c>
      <c r="F400" s="4" t="n">
        <v>15.95</v>
      </c>
      <c r="G400" s="4" t="n">
        <v>183</v>
      </c>
      <c r="H400" s="4" t="n">
        <v>20.68</v>
      </c>
      <c r="I400" s="4" t="n">
        <v>-4.72</v>
      </c>
    </row>
    <row r="401" customFormat="false" ht="15" hidden="false" customHeight="true" outlineLevel="0" collapsed="false">
      <c r="A401" s="4" t="s">
        <v>158</v>
      </c>
      <c r="B401" s="4" t="n">
        <v>12820118</v>
      </c>
      <c r="C401" s="4" t="s">
        <v>79</v>
      </c>
      <c r="D401" s="4" t="s">
        <v>103</v>
      </c>
      <c r="E401" s="4" t="n">
        <v>207</v>
      </c>
      <c r="F401" s="4" t="n">
        <v>21.58</v>
      </c>
      <c r="G401" s="4" t="n">
        <v>95</v>
      </c>
      <c r="H401" s="4" t="n">
        <v>10.73</v>
      </c>
      <c r="I401" s="4" t="n">
        <v>10.85</v>
      </c>
    </row>
    <row r="402" customFormat="false" ht="15" hidden="false" customHeight="true" outlineLevel="0" collapsed="false">
      <c r="A402" s="4" t="s">
        <v>158</v>
      </c>
      <c r="B402" s="4" t="n">
        <v>12820118</v>
      </c>
      <c r="C402" s="4" t="s">
        <v>79</v>
      </c>
      <c r="D402" s="4" t="s">
        <v>102</v>
      </c>
      <c r="E402" s="4" t="n">
        <v>51</v>
      </c>
      <c r="F402" s="4" t="n">
        <v>5.32</v>
      </c>
      <c r="G402" s="4" t="n">
        <v>46</v>
      </c>
      <c r="H402" s="4" t="n">
        <v>5.2</v>
      </c>
      <c r="I402" s="4" t="n">
        <v>0.12</v>
      </c>
    </row>
    <row r="403" customFormat="false" ht="15" hidden="false" customHeight="true" outlineLevel="0" collapsed="false">
      <c r="A403" s="4" t="s">
        <v>158</v>
      </c>
      <c r="B403" s="4" t="n">
        <v>12820118</v>
      </c>
      <c r="C403" s="4" t="s">
        <v>79</v>
      </c>
      <c r="D403" s="4" t="s">
        <v>105</v>
      </c>
      <c r="E403" s="4" t="n">
        <v>12</v>
      </c>
      <c r="F403" s="4" t="n">
        <v>1.25</v>
      </c>
      <c r="G403" s="4" t="n">
        <v>21</v>
      </c>
      <c r="H403" s="4" t="n">
        <v>2.37</v>
      </c>
      <c r="I403" s="4" t="n">
        <v>-1.12</v>
      </c>
    </row>
    <row r="404" customFormat="false" ht="15" hidden="false" customHeight="true" outlineLevel="0" collapsed="false">
      <c r="A404" s="4" t="s">
        <v>158</v>
      </c>
      <c r="B404" s="4" t="n">
        <v>12820118</v>
      </c>
      <c r="C404" s="4" t="s">
        <v>79</v>
      </c>
      <c r="D404" s="4" t="s">
        <v>104</v>
      </c>
      <c r="E404" s="4" t="n">
        <v>23</v>
      </c>
      <c r="F404" s="4" t="n">
        <v>2.4</v>
      </c>
      <c r="G404" s="4" t="n">
        <v>29</v>
      </c>
      <c r="H404" s="4" t="n">
        <v>3.28</v>
      </c>
      <c r="I404" s="4" t="n">
        <v>-0.88</v>
      </c>
    </row>
    <row r="405" customFormat="false" ht="15" hidden="false" customHeight="true" outlineLevel="0" collapsed="false">
      <c r="A405" s="4" t="s">
        <v>158</v>
      </c>
      <c r="B405" s="4" t="n">
        <v>12820118</v>
      </c>
      <c r="C405" s="4" t="s">
        <v>79</v>
      </c>
      <c r="D405" s="4" t="s">
        <v>106</v>
      </c>
      <c r="E405" s="4" t="n">
        <v>34</v>
      </c>
      <c r="F405" s="4" t="n">
        <v>3.55</v>
      </c>
      <c r="G405" s="4" t="n">
        <v>19</v>
      </c>
      <c r="H405" s="4" t="n">
        <v>2.15</v>
      </c>
      <c r="I405" s="4" t="n">
        <v>1.4</v>
      </c>
    </row>
    <row r="406" customFormat="false" ht="15" hidden="false" customHeight="true" outlineLevel="0" collapsed="false">
      <c r="A406" s="4" t="s">
        <v>158</v>
      </c>
      <c r="B406" s="4" t="n">
        <v>12820118</v>
      </c>
      <c r="C406" s="4" t="s">
        <v>79</v>
      </c>
      <c r="D406" s="4" t="s">
        <v>12</v>
      </c>
      <c r="E406" s="4" t="n">
        <v>11</v>
      </c>
      <c r="F406" s="4" t="n">
        <v>1.15</v>
      </c>
      <c r="G406" s="4" t="n">
        <v>67</v>
      </c>
      <c r="H406" s="4" t="n">
        <v>7.57</v>
      </c>
      <c r="I406" s="4" t="n">
        <v>-6.42</v>
      </c>
    </row>
    <row r="407" customFormat="false" ht="15" hidden="false" customHeight="true" outlineLevel="0" collapsed="false">
      <c r="A407" s="4" t="s">
        <v>158</v>
      </c>
      <c r="B407" s="4" t="n">
        <v>12820201</v>
      </c>
      <c r="C407" s="4" t="s">
        <v>81</v>
      </c>
      <c r="D407" s="4" t="s">
        <v>99</v>
      </c>
      <c r="E407" s="4" t="n">
        <v>55</v>
      </c>
      <c r="F407" s="4" t="n">
        <v>20</v>
      </c>
      <c r="G407" s="4" t="n">
        <v>61</v>
      </c>
      <c r="H407" s="4" t="n">
        <v>20.33</v>
      </c>
      <c r="I407" s="4" t="n">
        <v>-0.33</v>
      </c>
    </row>
    <row r="408" customFormat="false" ht="15" hidden="false" customHeight="true" outlineLevel="0" collapsed="false">
      <c r="A408" s="4" t="s">
        <v>158</v>
      </c>
      <c r="B408" s="4" t="n">
        <v>12820201</v>
      </c>
      <c r="C408" s="4" t="s">
        <v>81</v>
      </c>
      <c r="D408" s="4" t="s">
        <v>101</v>
      </c>
      <c r="E408" s="4" t="n">
        <v>68</v>
      </c>
      <c r="F408" s="4" t="n">
        <v>24.73</v>
      </c>
      <c r="G408" s="4" t="n">
        <v>85</v>
      </c>
      <c r="H408" s="4" t="n">
        <v>28.33</v>
      </c>
      <c r="I408" s="4" t="n">
        <v>-3.61</v>
      </c>
    </row>
    <row r="409" customFormat="false" ht="15" hidden="false" customHeight="true" outlineLevel="0" collapsed="false">
      <c r="A409" s="4" t="s">
        <v>158</v>
      </c>
      <c r="B409" s="4" t="n">
        <v>12820201</v>
      </c>
      <c r="C409" s="4" t="s">
        <v>81</v>
      </c>
      <c r="D409" s="4" t="s">
        <v>100</v>
      </c>
      <c r="E409" s="4" t="n">
        <v>35</v>
      </c>
      <c r="F409" s="4" t="n">
        <v>12.73</v>
      </c>
      <c r="G409" s="4" t="n">
        <v>52</v>
      </c>
      <c r="H409" s="4" t="n">
        <v>17.33</v>
      </c>
      <c r="I409" s="4" t="n">
        <v>-4.61</v>
      </c>
    </row>
    <row r="410" customFormat="false" ht="15" hidden="false" customHeight="true" outlineLevel="0" collapsed="false">
      <c r="A410" s="4" t="s">
        <v>158</v>
      </c>
      <c r="B410" s="4" t="n">
        <v>12820201</v>
      </c>
      <c r="C410" s="4" t="s">
        <v>81</v>
      </c>
      <c r="D410" s="4" t="s">
        <v>103</v>
      </c>
      <c r="E410" s="4" t="n">
        <v>16</v>
      </c>
      <c r="F410" s="4" t="n">
        <v>5.82</v>
      </c>
      <c r="G410" s="4" t="n">
        <v>20</v>
      </c>
      <c r="H410" s="4" t="n">
        <v>6.67</v>
      </c>
      <c r="I410" s="4" t="n">
        <v>-0.85</v>
      </c>
    </row>
    <row r="411" customFormat="false" ht="15" hidden="false" customHeight="true" outlineLevel="0" collapsed="false">
      <c r="A411" s="4" t="s">
        <v>158</v>
      </c>
      <c r="B411" s="4" t="n">
        <v>12820201</v>
      </c>
      <c r="C411" s="4" t="s">
        <v>81</v>
      </c>
      <c r="D411" s="4" t="s">
        <v>102</v>
      </c>
      <c r="E411" s="4" t="n">
        <v>45</v>
      </c>
      <c r="F411" s="4" t="n">
        <v>16.36</v>
      </c>
      <c r="G411" s="4" t="n">
        <v>29</v>
      </c>
      <c r="H411" s="4" t="n">
        <v>9.67</v>
      </c>
      <c r="I411" s="4" t="n">
        <v>6.7</v>
      </c>
    </row>
    <row r="412" customFormat="false" ht="15" hidden="false" customHeight="true" outlineLevel="0" collapsed="false">
      <c r="A412" s="4" t="s">
        <v>158</v>
      </c>
      <c r="B412" s="4" t="n">
        <v>12820201</v>
      </c>
      <c r="C412" s="4" t="s">
        <v>81</v>
      </c>
      <c r="D412" s="4" t="s">
        <v>105</v>
      </c>
      <c r="E412" s="4" t="n">
        <v>14</v>
      </c>
      <c r="F412" s="4" t="n">
        <v>5.09</v>
      </c>
      <c r="G412" s="4" t="n">
        <v>17</v>
      </c>
      <c r="H412" s="4" t="n">
        <v>5.67</v>
      </c>
      <c r="I412" s="4" t="n">
        <v>-0.58</v>
      </c>
    </row>
    <row r="413" customFormat="false" ht="15" hidden="false" customHeight="true" outlineLevel="0" collapsed="false">
      <c r="A413" s="4" t="s">
        <v>158</v>
      </c>
      <c r="B413" s="4" t="n">
        <v>12820201</v>
      </c>
      <c r="C413" s="4" t="s">
        <v>81</v>
      </c>
      <c r="D413" s="4" t="s">
        <v>104</v>
      </c>
      <c r="E413" s="4" t="n">
        <v>10</v>
      </c>
      <c r="F413" s="4" t="n">
        <v>3.64</v>
      </c>
      <c r="G413" s="4" t="n">
        <v>19</v>
      </c>
      <c r="H413" s="4" t="n">
        <v>6.33</v>
      </c>
      <c r="I413" s="4" t="n">
        <v>-2.7</v>
      </c>
    </row>
    <row r="414" customFormat="false" ht="15" hidden="false" customHeight="true" outlineLevel="0" collapsed="false">
      <c r="A414" s="4" t="s">
        <v>158</v>
      </c>
      <c r="B414" s="4" t="n">
        <v>12820201</v>
      </c>
      <c r="C414" s="4" t="s">
        <v>81</v>
      </c>
      <c r="D414" s="4" t="s">
        <v>106</v>
      </c>
      <c r="E414" s="4" t="n">
        <v>30</v>
      </c>
      <c r="F414" s="4" t="n">
        <v>10.91</v>
      </c>
      <c r="G414" s="4" t="n">
        <v>13</v>
      </c>
      <c r="H414" s="4" t="n">
        <v>4.33</v>
      </c>
      <c r="I414" s="4" t="n">
        <v>6.58</v>
      </c>
    </row>
    <row r="415" customFormat="false" ht="15" hidden="false" customHeight="true" outlineLevel="0" collapsed="false">
      <c r="A415" s="4" t="s">
        <v>158</v>
      </c>
      <c r="B415" s="4" t="n">
        <v>12820201</v>
      </c>
      <c r="C415" s="4" t="s">
        <v>81</v>
      </c>
      <c r="D415" s="4" t="s">
        <v>12</v>
      </c>
      <c r="E415" s="4" t="n">
        <v>2</v>
      </c>
      <c r="F415" s="4" t="n">
        <v>0.73</v>
      </c>
      <c r="G415" s="4" t="n">
        <v>4</v>
      </c>
      <c r="H415" s="4" t="n">
        <v>1.33</v>
      </c>
      <c r="I415" s="4" t="n">
        <v>-0.61</v>
      </c>
    </row>
    <row r="416" customFormat="false" ht="15" hidden="false" customHeight="true" outlineLevel="0" collapsed="false">
      <c r="A416" s="4" t="s">
        <v>158</v>
      </c>
      <c r="B416" s="4" t="n">
        <v>12820301</v>
      </c>
      <c r="C416" s="4" t="s">
        <v>83</v>
      </c>
      <c r="D416" s="4" t="s">
        <v>99</v>
      </c>
      <c r="E416" s="4" t="n">
        <v>201</v>
      </c>
      <c r="F416" s="4" t="n">
        <v>18.58</v>
      </c>
      <c r="G416" s="4" t="n">
        <v>227</v>
      </c>
      <c r="H416" s="4" t="n">
        <v>21.37</v>
      </c>
      <c r="I416" s="4" t="n">
        <v>-2.8</v>
      </c>
    </row>
    <row r="417" customFormat="false" ht="15" hidden="false" customHeight="true" outlineLevel="0" collapsed="false">
      <c r="A417" s="4" t="s">
        <v>158</v>
      </c>
      <c r="B417" s="4" t="n">
        <v>12820301</v>
      </c>
      <c r="C417" s="4" t="s">
        <v>83</v>
      </c>
      <c r="D417" s="4" t="s">
        <v>101</v>
      </c>
      <c r="E417" s="4" t="n">
        <v>260</v>
      </c>
      <c r="F417" s="4" t="n">
        <v>24.03</v>
      </c>
      <c r="G417" s="4" t="n">
        <v>202</v>
      </c>
      <c r="H417" s="4" t="n">
        <v>19.02</v>
      </c>
      <c r="I417" s="4" t="n">
        <v>5.01</v>
      </c>
    </row>
    <row r="418" customFormat="false" ht="15" hidden="false" customHeight="true" outlineLevel="0" collapsed="false">
      <c r="A418" s="4" t="s">
        <v>158</v>
      </c>
      <c r="B418" s="4" t="n">
        <v>12820301</v>
      </c>
      <c r="C418" s="4" t="s">
        <v>83</v>
      </c>
      <c r="D418" s="4" t="s">
        <v>100</v>
      </c>
      <c r="E418" s="4" t="n">
        <v>286</v>
      </c>
      <c r="F418" s="4" t="n">
        <v>26.43</v>
      </c>
      <c r="G418" s="4" t="n">
        <v>340</v>
      </c>
      <c r="H418" s="4" t="n">
        <v>32.02</v>
      </c>
      <c r="I418" s="4" t="n">
        <v>-5.58</v>
      </c>
    </row>
    <row r="419" customFormat="false" ht="15" hidden="false" customHeight="true" outlineLevel="0" collapsed="false">
      <c r="A419" s="4" t="s">
        <v>158</v>
      </c>
      <c r="B419" s="4" t="n">
        <v>12820301</v>
      </c>
      <c r="C419" s="4" t="s">
        <v>83</v>
      </c>
      <c r="D419" s="4" t="s">
        <v>103</v>
      </c>
      <c r="E419" s="4" t="n">
        <v>41</v>
      </c>
      <c r="F419" s="4" t="n">
        <v>3.79</v>
      </c>
      <c r="G419" s="4" t="n">
        <v>31</v>
      </c>
      <c r="H419" s="4" t="n">
        <v>2.92</v>
      </c>
      <c r="I419" s="4" t="n">
        <v>0.87</v>
      </c>
    </row>
    <row r="420" customFormat="false" ht="15" hidden="false" customHeight="true" outlineLevel="0" collapsed="false">
      <c r="A420" s="4" t="s">
        <v>158</v>
      </c>
      <c r="B420" s="4" t="n">
        <v>12820301</v>
      </c>
      <c r="C420" s="4" t="s">
        <v>83</v>
      </c>
      <c r="D420" s="4" t="s">
        <v>102</v>
      </c>
      <c r="E420" s="4" t="n">
        <v>106</v>
      </c>
      <c r="F420" s="4" t="n">
        <v>9.8</v>
      </c>
      <c r="G420" s="4" t="n">
        <v>98</v>
      </c>
      <c r="H420" s="4" t="n">
        <v>9.23</v>
      </c>
      <c r="I420" s="4" t="n">
        <v>0.57</v>
      </c>
    </row>
    <row r="421" customFormat="false" ht="15" hidden="false" customHeight="true" outlineLevel="0" collapsed="false">
      <c r="A421" s="4" t="s">
        <v>158</v>
      </c>
      <c r="B421" s="4" t="n">
        <v>12820301</v>
      </c>
      <c r="C421" s="4" t="s">
        <v>83</v>
      </c>
      <c r="D421" s="4" t="s">
        <v>105</v>
      </c>
      <c r="E421" s="4" t="n">
        <v>48</v>
      </c>
      <c r="F421" s="4" t="n">
        <v>4.44</v>
      </c>
      <c r="G421" s="4" t="n">
        <v>44</v>
      </c>
      <c r="H421" s="4" t="n">
        <v>4.14</v>
      </c>
      <c r="I421" s="4" t="n">
        <v>0.29</v>
      </c>
    </row>
    <row r="422" customFormat="false" ht="15" hidden="false" customHeight="true" outlineLevel="0" collapsed="false">
      <c r="A422" s="4" t="s">
        <v>158</v>
      </c>
      <c r="B422" s="4" t="n">
        <v>12820301</v>
      </c>
      <c r="C422" s="4" t="s">
        <v>83</v>
      </c>
      <c r="D422" s="4" t="s">
        <v>104</v>
      </c>
      <c r="E422" s="4" t="n">
        <v>74</v>
      </c>
      <c r="F422" s="4" t="n">
        <v>6.84</v>
      </c>
      <c r="G422" s="4" t="n">
        <v>61</v>
      </c>
      <c r="H422" s="4" t="n">
        <v>5.74</v>
      </c>
      <c r="I422" s="4" t="n">
        <v>1.1</v>
      </c>
    </row>
    <row r="423" customFormat="false" ht="15" hidden="false" customHeight="true" outlineLevel="0" collapsed="false">
      <c r="A423" s="4" t="s">
        <v>158</v>
      </c>
      <c r="B423" s="4" t="n">
        <v>12820301</v>
      </c>
      <c r="C423" s="4" t="s">
        <v>83</v>
      </c>
      <c r="D423" s="4" t="s">
        <v>106</v>
      </c>
      <c r="E423" s="4" t="n">
        <v>57</v>
      </c>
      <c r="F423" s="4" t="n">
        <v>5.27</v>
      </c>
      <c r="G423" s="4" t="n">
        <v>47</v>
      </c>
      <c r="H423" s="4" t="n">
        <v>4.43</v>
      </c>
      <c r="I423" s="4" t="n">
        <v>0.84</v>
      </c>
    </row>
    <row r="424" customFormat="false" ht="15" hidden="false" customHeight="true" outlineLevel="0" collapsed="false">
      <c r="A424" s="4" t="s">
        <v>158</v>
      </c>
      <c r="B424" s="4" t="n">
        <v>12820301</v>
      </c>
      <c r="C424" s="4" t="s">
        <v>83</v>
      </c>
      <c r="D424" s="4" t="s">
        <v>12</v>
      </c>
      <c r="E424" s="4" t="n">
        <v>9</v>
      </c>
      <c r="F424" s="4" t="n">
        <v>0.83</v>
      </c>
      <c r="G424" s="4" t="n">
        <v>12</v>
      </c>
      <c r="H424" s="4" t="n">
        <v>1.13</v>
      </c>
      <c r="I424" s="4" t="n">
        <v>-0.3</v>
      </c>
    </row>
    <row r="425" customFormat="false" ht="15" hidden="false" customHeight="true" outlineLevel="0" collapsed="false">
      <c r="A425" s="4" t="s">
        <v>158</v>
      </c>
      <c r="B425" s="4" t="n">
        <v>12820401</v>
      </c>
      <c r="C425" s="4" t="s">
        <v>85</v>
      </c>
      <c r="D425" s="4" t="s">
        <v>99</v>
      </c>
      <c r="E425" s="4" t="n">
        <v>341</v>
      </c>
      <c r="F425" s="4" t="n">
        <v>24.15</v>
      </c>
      <c r="G425" s="4" t="n">
        <v>339</v>
      </c>
      <c r="H425" s="4" t="n">
        <v>24.2</v>
      </c>
      <c r="I425" s="4" t="n">
        <v>-0.05</v>
      </c>
    </row>
    <row r="426" customFormat="false" ht="15" hidden="false" customHeight="true" outlineLevel="0" collapsed="false">
      <c r="A426" s="4" t="s">
        <v>158</v>
      </c>
      <c r="B426" s="4" t="n">
        <v>12820401</v>
      </c>
      <c r="C426" s="4" t="s">
        <v>85</v>
      </c>
      <c r="D426" s="4" t="s">
        <v>101</v>
      </c>
      <c r="E426" s="4" t="n">
        <v>381</v>
      </c>
      <c r="F426" s="4" t="n">
        <v>26.98</v>
      </c>
      <c r="G426" s="4" t="n">
        <v>354</v>
      </c>
      <c r="H426" s="4" t="n">
        <v>25.27</v>
      </c>
      <c r="I426" s="4" t="n">
        <v>1.72</v>
      </c>
    </row>
    <row r="427" customFormat="false" ht="15" hidden="false" customHeight="true" outlineLevel="0" collapsed="false">
      <c r="A427" s="4" t="s">
        <v>158</v>
      </c>
      <c r="B427" s="4" t="n">
        <v>12820401</v>
      </c>
      <c r="C427" s="4" t="s">
        <v>85</v>
      </c>
      <c r="D427" s="4" t="s">
        <v>100</v>
      </c>
      <c r="E427" s="4" t="n">
        <v>352</v>
      </c>
      <c r="F427" s="4" t="n">
        <v>24.93</v>
      </c>
      <c r="G427" s="4" t="n">
        <v>384</v>
      </c>
      <c r="H427" s="4" t="n">
        <v>27.41</v>
      </c>
      <c r="I427" s="4" t="n">
        <v>-2.48</v>
      </c>
    </row>
    <row r="428" customFormat="false" ht="15" hidden="false" customHeight="true" outlineLevel="0" collapsed="false">
      <c r="A428" s="4" t="s">
        <v>158</v>
      </c>
      <c r="B428" s="4" t="n">
        <v>12820401</v>
      </c>
      <c r="C428" s="4" t="s">
        <v>85</v>
      </c>
      <c r="D428" s="4" t="s">
        <v>103</v>
      </c>
      <c r="E428" s="4" t="n">
        <v>56</v>
      </c>
      <c r="F428" s="4" t="n">
        <v>3.97</v>
      </c>
      <c r="G428" s="4" t="n">
        <v>45</v>
      </c>
      <c r="H428" s="4" t="n">
        <v>3.21</v>
      </c>
      <c r="I428" s="4" t="n">
        <v>0.75</v>
      </c>
    </row>
    <row r="429" customFormat="false" ht="15" hidden="false" customHeight="true" outlineLevel="0" collapsed="false">
      <c r="A429" s="4" t="s">
        <v>158</v>
      </c>
      <c r="B429" s="4" t="n">
        <v>12820401</v>
      </c>
      <c r="C429" s="4" t="s">
        <v>85</v>
      </c>
      <c r="D429" s="4" t="s">
        <v>102</v>
      </c>
      <c r="E429" s="4" t="n">
        <v>136</v>
      </c>
      <c r="F429" s="4" t="n">
        <v>9.63</v>
      </c>
      <c r="G429" s="4" t="n">
        <v>137</v>
      </c>
      <c r="H429" s="4" t="n">
        <v>9.78</v>
      </c>
      <c r="I429" s="4" t="n">
        <v>-0.15</v>
      </c>
    </row>
    <row r="430" customFormat="false" ht="15" hidden="false" customHeight="true" outlineLevel="0" collapsed="false">
      <c r="A430" s="4" t="s">
        <v>158</v>
      </c>
      <c r="B430" s="4" t="n">
        <v>12820401</v>
      </c>
      <c r="C430" s="4" t="s">
        <v>85</v>
      </c>
      <c r="D430" s="4" t="s">
        <v>105</v>
      </c>
      <c r="E430" s="4" t="n">
        <v>26</v>
      </c>
      <c r="F430" s="4" t="n">
        <v>1.84</v>
      </c>
      <c r="G430" s="4" t="n">
        <v>28</v>
      </c>
      <c r="H430" s="4" t="n">
        <v>2</v>
      </c>
      <c r="I430" s="4" t="n">
        <v>-0.16</v>
      </c>
    </row>
    <row r="431" customFormat="false" ht="15" hidden="false" customHeight="true" outlineLevel="0" collapsed="false">
      <c r="A431" s="4" t="s">
        <v>158</v>
      </c>
      <c r="B431" s="4" t="n">
        <v>12820401</v>
      </c>
      <c r="C431" s="4" t="s">
        <v>85</v>
      </c>
      <c r="D431" s="4" t="s">
        <v>104</v>
      </c>
      <c r="E431" s="4" t="n">
        <v>77</v>
      </c>
      <c r="F431" s="4" t="n">
        <v>5.45</v>
      </c>
      <c r="G431" s="4" t="n">
        <v>79</v>
      </c>
      <c r="H431" s="4" t="n">
        <v>5.64</v>
      </c>
      <c r="I431" s="4" t="n">
        <v>-0.19</v>
      </c>
    </row>
    <row r="432" customFormat="false" ht="15" hidden="false" customHeight="true" outlineLevel="0" collapsed="false">
      <c r="A432" s="4" t="s">
        <v>158</v>
      </c>
      <c r="B432" s="4" t="n">
        <v>12820401</v>
      </c>
      <c r="C432" s="4" t="s">
        <v>85</v>
      </c>
      <c r="D432" s="4" t="s">
        <v>106</v>
      </c>
      <c r="E432" s="4" t="n">
        <v>36</v>
      </c>
      <c r="F432" s="4" t="n">
        <v>2.55</v>
      </c>
      <c r="G432" s="4" t="n">
        <v>22</v>
      </c>
      <c r="H432" s="4" t="n">
        <v>1.57</v>
      </c>
      <c r="I432" s="4" t="n">
        <v>0.98</v>
      </c>
    </row>
    <row r="433" customFormat="false" ht="15" hidden="false" customHeight="true" outlineLevel="0" collapsed="false">
      <c r="A433" s="4" t="s">
        <v>158</v>
      </c>
      <c r="B433" s="4" t="n">
        <v>12820401</v>
      </c>
      <c r="C433" s="4" t="s">
        <v>85</v>
      </c>
      <c r="D433" s="4" t="s">
        <v>12</v>
      </c>
      <c r="E433" s="4" t="n">
        <v>7</v>
      </c>
      <c r="F433" s="4" t="n">
        <v>0.5</v>
      </c>
      <c r="G433" s="4" t="n">
        <v>13</v>
      </c>
      <c r="H433" s="4" t="n">
        <v>0.93</v>
      </c>
      <c r="I433" s="4" t="n">
        <v>-0.43</v>
      </c>
    </row>
    <row r="434" customFormat="false" ht="15" hidden="false" customHeight="true" outlineLevel="0" collapsed="false">
      <c r="A434" s="4" t="s">
        <v>158</v>
      </c>
      <c r="B434" s="4" t="n">
        <v>12820402</v>
      </c>
      <c r="C434" s="4" t="s">
        <v>87</v>
      </c>
      <c r="D434" s="4" t="s">
        <v>99</v>
      </c>
      <c r="E434" s="4" t="n">
        <v>385</v>
      </c>
      <c r="F434" s="4" t="n">
        <v>27.88</v>
      </c>
      <c r="G434" s="4" t="n">
        <v>367</v>
      </c>
      <c r="H434" s="4" t="n">
        <v>27.55</v>
      </c>
      <c r="I434" s="4" t="n">
        <v>0.33</v>
      </c>
    </row>
    <row r="435" customFormat="false" ht="15" hidden="false" customHeight="true" outlineLevel="0" collapsed="false">
      <c r="A435" s="4" t="s">
        <v>158</v>
      </c>
      <c r="B435" s="4" t="n">
        <v>12820402</v>
      </c>
      <c r="C435" s="4" t="s">
        <v>87</v>
      </c>
      <c r="D435" s="4" t="s">
        <v>101</v>
      </c>
      <c r="E435" s="4" t="n">
        <v>332</v>
      </c>
      <c r="F435" s="4" t="n">
        <v>24.04</v>
      </c>
      <c r="G435" s="4" t="n">
        <v>320</v>
      </c>
      <c r="H435" s="4" t="n">
        <v>24.02</v>
      </c>
      <c r="I435" s="4" t="n">
        <v>0.02</v>
      </c>
    </row>
    <row r="436" customFormat="false" ht="15" hidden="false" customHeight="true" outlineLevel="0" collapsed="false">
      <c r="A436" s="4" t="s">
        <v>158</v>
      </c>
      <c r="B436" s="4" t="n">
        <v>12820402</v>
      </c>
      <c r="C436" s="4" t="s">
        <v>87</v>
      </c>
      <c r="D436" s="4" t="s">
        <v>100</v>
      </c>
      <c r="E436" s="4" t="n">
        <v>317</v>
      </c>
      <c r="F436" s="4" t="n">
        <v>22.95</v>
      </c>
      <c r="G436" s="4" t="n">
        <v>316</v>
      </c>
      <c r="H436" s="4" t="n">
        <v>23.72</v>
      </c>
      <c r="I436" s="4" t="n">
        <v>-0.77</v>
      </c>
    </row>
    <row r="437" customFormat="false" ht="15" hidden="false" customHeight="true" outlineLevel="0" collapsed="false">
      <c r="A437" s="4" t="s">
        <v>158</v>
      </c>
      <c r="B437" s="4" t="n">
        <v>12820402</v>
      </c>
      <c r="C437" s="4" t="s">
        <v>87</v>
      </c>
      <c r="D437" s="4" t="s">
        <v>103</v>
      </c>
      <c r="E437" s="4" t="n">
        <v>43</v>
      </c>
      <c r="F437" s="4" t="n">
        <v>3.11</v>
      </c>
      <c r="G437" s="4" t="n">
        <v>35</v>
      </c>
      <c r="H437" s="4" t="n">
        <v>2.63</v>
      </c>
      <c r="I437" s="4" t="n">
        <v>0.49</v>
      </c>
    </row>
    <row r="438" customFormat="false" ht="15" hidden="false" customHeight="true" outlineLevel="0" collapsed="false">
      <c r="A438" s="4" t="s">
        <v>158</v>
      </c>
      <c r="B438" s="4" t="n">
        <v>12820402</v>
      </c>
      <c r="C438" s="4" t="s">
        <v>87</v>
      </c>
      <c r="D438" s="4" t="s">
        <v>102</v>
      </c>
      <c r="E438" s="4" t="n">
        <v>172</v>
      </c>
      <c r="F438" s="4" t="n">
        <v>12.45</v>
      </c>
      <c r="G438" s="4" t="n">
        <v>152</v>
      </c>
      <c r="H438" s="4" t="n">
        <v>11.41</v>
      </c>
      <c r="I438" s="4" t="n">
        <v>1.04</v>
      </c>
    </row>
    <row r="439" customFormat="false" ht="15" hidden="false" customHeight="true" outlineLevel="0" collapsed="false">
      <c r="A439" s="4" t="s">
        <v>158</v>
      </c>
      <c r="B439" s="4" t="n">
        <v>12820402</v>
      </c>
      <c r="C439" s="4" t="s">
        <v>87</v>
      </c>
      <c r="D439" s="4" t="s">
        <v>105</v>
      </c>
      <c r="E439" s="4" t="n">
        <v>39</v>
      </c>
      <c r="F439" s="4" t="n">
        <v>2.82</v>
      </c>
      <c r="G439" s="4" t="n">
        <v>40</v>
      </c>
      <c r="H439" s="4" t="n">
        <v>3</v>
      </c>
      <c r="I439" s="4" t="n">
        <v>-0.18</v>
      </c>
    </row>
    <row r="440" customFormat="false" ht="15" hidden="false" customHeight="true" outlineLevel="0" collapsed="false">
      <c r="A440" s="4" t="s">
        <v>158</v>
      </c>
      <c r="B440" s="4" t="n">
        <v>12820402</v>
      </c>
      <c r="C440" s="4" t="s">
        <v>87</v>
      </c>
      <c r="D440" s="4" t="s">
        <v>104</v>
      </c>
      <c r="E440" s="4" t="n">
        <v>63</v>
      </c>
      <c r="F440" s="4" t="n">
        <v>4.56</v>
      </c>
      <c r="G440" s="4" t="n">
        <v>69</v>
      </c>
      <c r="H440" s="4" t="n">
        <v>5.18</v>
      </c>
      <c r="I440" s="4" t="n">
        <v>-0.62</v>
      </c>
    </row>
    <row r="441" customFormat="false" ht="15" hidden="false" customHeight="true" outlineLevel="0" collapsed="false">
      <c r="A441" s="4" t="s">
        <v>158</v>
      </c>
      <c r="B441" s="4" t="n">
        <v>12820402</v>
      </c>
      <c r="C441" s="4" t="s">
        <v>87</v>
      </c>
      <c r="D441" s="4" t="s">
        <v>106</v>
      </c>
      <c r="E441" s="4" t="n">
        <v>26</v>
      </c>
      <c r="F441" s="4" t="n">
        <v>1.88</v>
      </c>
      <c r="G441" s="4" t="n">
        <v>20</v>
      </c>
      <c r="H441" s="4" t="n">
        <v>1.5</v>
      </c>
      <c r="I441" s="4" t="n">
        <v>0.38</v>
      </c>
    </row>
    <row r="442" customFormat="false" ht="15" hidden="false" customHeight="true" outlineLevel="0" collapsed="false">
      <c r="A442" s="4" t="s">
        <v>158</v>
      </c>
      <c r="B442" s="4" t="n">
        <v>12820402</v>
      </c>
      <c r="C442" s="4" t="s">
        <v>87</v>
      </c>
      <c r="D442" s="4" t="s">
        <v>12</v>
      </c>
      <c r="E442" s="4" t="n">
        <v>4</v>
      </c>
      <c r="F442" s="4" t="n">
        <v>0.29</v>
      </c>
      <c r="G442" s="4" t="n">
        <v>13</v>
      </c>
      <c r="H442" s="4" t="n">
        <v>0.98</v>
      </c>
      <c r="I442" s="4" t="n">
        <v>-0.69</v>
      </c>
    </row>
    <row r="443" customFormat="false" ht="15" hidden="false" customHeight="true" outlineLevel="0" collapsed="false">
      <c r="A443" s="4" t="s">
        <v>158</v>
      </c>
      <c r="B443" s="4" t="n">
        <v>12820501</v>
      </c>
      <c r="C443" s="4" t="s">
        <v>89</v>
      </c>
      <c r="D443" s="4" t="s">
        <v>99</v>
      </c>
      <c r="E443" s="4" t="n">
        <v>313</v>
      </c>
      <c r="F443" s="4" t="n">
        <v>22.65</v>
      </c>
      <c r="G443" s="4" t="n">
        <v>329</v>
      </c>
      <c r="H443" s="4" t="n">
        <v>23.38</v>
      </c>
      <c r="I443" s="4" t="n">
        <v>-0.73</v>
      </c>
    </row>
    <row r="444" customFormat="false" ht="15" hidden="false" customHeight="true" outlineLevel="0" collapsed="false">
      <c r="A444" s="4" t="s">
        <v>158</v>
      </c>
      <c r="B444" s="4" t="n">
        <v>12820501</v>
      </c>
      <c r="C444" s="4" t="s">
        <v>89</v>
      </c>
      <c r="D444" s="4" t="s">
        <v>101</v>
      </c>
      <c r="E444" s="4" t="n">
        <v>335</v>
      </c>
      <c r="F444" s="4" t="n">
        <v>24.24</v>
      </c>
      <c r="G444" s="4" t="n">
        <v>317</v>
      </c>
      <c r="H444" s="4" t="n">
        <v>22.53</v>
      </c>
      <c r="I444" s="4" t="n">
        <v>1.71</v>
      </c>
    </row>
    <row r="445" customFormat="false" ht="15" hidden="false" customHeight="true" outlineLevel="0" collapsed="false">
      <c r="A445" s="4" t="s">
        <v>158</v>
      </c>
      <c r="B445" s="4" t="n">
        <v>12820501</v>
      </c>
      <c r="C445" s="4" t="s">
        <v>89</v>
      </c>
      <c r="D445" s="4" t="s">
        <v>100</v>
      </c>
      <c r="E445" s="4" t="n">
        <v>364</v>
      </c>
      <c r="F445" s="4" t="n">
        <v>26.34</v>
      </c>
      <c r="G445" s="4" t="n">
        <v>402</v>
      </c>
      <c r="H445" s="4" t="n">
        <v>28.57</v>
      </c>
      <c r="I445" s="4" t="n">
        <v>-2.23</v>
      </c>
    </row>
    <row r="446" customFormat="false" ht="15" hidden="false" customHeight="true" outlineLevel="0" collapsed="false">
      <c r="A446" s="4" t="s">
        <v>158</v>
      </c>
      <c r="B446" s="4" t="n">
        <v>12820501</v>
      </c>
      <c r="C446" s="4" t="s">
        <v>89</v>
      </c>
      <c r="D446" s="4" t="s">
        <v>103</v>
      </c>
      <c r="E446" s="4" t="n">
        <v>63</v>
      </c>
      <c r="F446" s="4" t="n">
        <v>4.56</v>
      </c>
      <c r="G446" s="4" t="n">
        <v>44</v>
      </c>
      <c r="H446" s="4" t="n">
        <v>3.13</v>
      </c>
      <c r="I446" s="4" t="n">
        <v>1.43</v>
      </c>
    </row>
    <row r="447" customFormat="false" ht="15" hidden="false" customHeight="true" outlineLevel="0" collapsed="false">
      <c r="A447" s="4" t="s">
        <v>158</v>
      </c>
      <c r="B447" s="4" t="n">
        <v>12820501</v>
      </c>
      <c r="C447" s="4" t="s">
        <v>89</v>
      </c>
      <c r="D447" s="4" t="s">
        <v>102</v>
      </c>
      <c r="E447" s="4" t="n">
        <v>132</v>
      </c>
      <c r="F447" s="4" t="n">
        <v>9.55</v>
      </c>
      <c r="G447" s="4" t="n">
        <v>137</v>
      </c>
      <c r="H447" s="4" t="n">
        <v>9.74</v>
      </c>
      <c r="I447" s="4" t="n">
        <v>-0.19</v>
      </c>
    </row>
    <row r="448" customFormat="false" ht="15" hidden="false" customHeight="true" outlineLevel="0" collapsed="false">
      <c r="A448" s="4" t="s">
        <v>158</v>
      </c>
      <c r="B448" s="4" t="n">
        <v>12820501</v>
      </c>
      <c r="C448" s="4" t="s">
        <v>89</v>
      </c>
      <c r="D448" s="4" t="s">
        <v>105</v>
      </c>
      <c r="E448" s="4" t="n">
        <v>41</v>
      </c>
      <c r="F448" s="4" t="n">
        <v>2.97</v>
      </c>
      <c r="G448" s="4" t="n">
        <v>60</v>
      </c>
      <c r="H448" s="4" t="n">
        <v>4.26</v>
      </c>
      <c r="I448" s="4" t="n">
        <v>-1.3</v>
      </c>
    </row>
    <row r="449" customFormat="false" ht="15" hidden="false" customHeight="true" outlineLevel="0" collapsed="false">
      <c r="A449" s="4" t="s">
        <v>158</v>
      </c>
      <c r="B449" s="4" t="n">
        <v>12820501</v>
      </c>
      <c r="C449" s="4" t="s">
        <v>89</v>
      </c>
      <c r="D449" s="4" t="s">
        <v>104</v>
      </c>
      <c r="E449" s="4" t="n">
        <v>84</v>
      </c>
      <c r="F449" s="4" t="n">
        <v>6.08</v>
      </c>
      <c r="G449" s="4" t="n">
        <v>69</v>
      </c>
      <c r="H449" s="4" t="n">
        <v>4.9</v>
      </c>
      <c r="I449" s="4" t="n">
        <v>1.17</v>
      </c>
    </row>
    <row r="450" customFormat="false" ht="15" hidden="false" customHeight="true" outlineLevel="0" collapsed="false">
      <c r="A450" s="4" t="s">
        <v>158</v>
      </c>
      <c r="B450" s="4" t="n">
        <v>12820501</v>
      </c>
      <c r="C450" s="4" t="s">
        <v>89</v>
      </c>
      <c r="D450" s="4" t="s">
        <v>106</v>
      </c>
      <c r="E450" s="4" t="n">
        <v>44</v>
      </c>
      <c r="F450" s="4" t="n">
        <v>3.18</v>
      </c>
      <c r="G450" s="4" t="n">
        <v>34</v>
      </c>
      <c r="H450" s="4" t="n">
        <v>2.42</v>
      </c>
      <c r="I450" s="4" t="n">
        <v>0.77</v>
      </c>
    </row>
    <row r="451" customFormat="false" ht="15" hidden="false" customHeight="true" outlineLevel="0" collapsed="false">
      <c r="A451" s="4" t="s">
        <v>158</v>
      </c>
      <c r="B451" s="4" t="n">
        <v>12820501</v>
      </c>
      <c r="C451" s="4" t="s">
        <v>89</v>
      </c>
      <c r="D451" s="4" t="s">
        <v>12</v>
      </c>
      <c r="E451" s="4" t="n">
        <v>6</v>
      </c>
      <c r="F451" s="4" t="n">
        <v>0.43</v>
      </c>
      <c r="G451" s="4" t="n">
        <v>15</v>
      </c>
      <c r="H451" s="4" t="n">
        <v>1.07</v>
      </c>
      <c r="I451" s="4" t="n">
        <v>-0.63</v>
      </c>
    </row>
    <row r="452" customFormat="false" ht="15" hidden="false" customHeight="true" outlineLevel="0" collapsed="false">
      <c r="A452" s="4" t="s">
        <v>158</v>
      </c>
      <c r="B452" s="4" t="n">
        <v>12820801</v>
      </c>
      <c r="C452" s="4" t="s">
        <v>91</v>
      </c>
      <c r="D452" s="4" t="s">
        <v>99</v>
      </c>
      <c r="E452" s="4" t="n">
        <v>208</v>
      </c>
      <c r="F452" s="4" t="n">
        <v>26.3</v>
      </c>
      <c r="G452" s="4" t="n">
        <v>243</v>
      </c>
      <c r="H452" s="4" t="n">
        <v>30.53</v>
      </c>
      <c r="I452" s="4" t="n">
        <v>-4.23</v>
      </c>
    </row>
    <row r="453" customFormat="false" ht="15" hidden="false" customHeight="true" outlineLevel="0" collapsed="false">
      <c r="A453" s="4" t="s">
        <v>158</v>
      </c>
      <c r="B453" s="4" t="n">
        <v>12820801</v>
      </c>
      <c r="C453" s="4" t="s">
        <v>91</v>
      </c>
      <c r="D453" s="4" t="s">
        <v>101</v>
      </c>
      <c r="E453" s="4" t="n">
        <v>141</v>
      </c>
      <c r="F453" s="4" t="n">
        <v>17.83</v>
      </c>
      <c r="G453" s="4" t="n">
        <v>121</v>
      </c>
      <c r="H453" s="4" t="n">
        <v>15.2</v>
      </c>
      <c r="I453" s="4" t="n">
        <v>2.62</v>
      </c>
    </row>
    <row r="454" customFormat="false" ht="15" hidden="false" customHeight="true" outlineLevel="0" collapsed="false">
      <c r="A454" s="4" t="s">
        <v>158</v>
      </c>
      <c r="B454" s="4" t="n">
        <v>12820801</v>
      </c>
      <c r="C454" s="4" t="s">
        <v>91</v>
      </c>
      <c r="D454" s="4" t="s">
        <v>100</v>
      </c>
      <c r="E454" s="4" t="n">
        <v>186</v>
      </c>
      <c r="F454" s="4" t="n">
        <v>23.51</v>
      </c>
      <c r="G454" s="4" t="n">
        <v>226</v>
      </c>
      <c r="H454" s="4" t="n">
        <v>28.39</v>
      </c>
      <c r="I454" s="4" t="n">
        <v>-4.88</v>
      </c>
    </row>
    <row r="455" customFormat="false" ht="15" hidden="false" customHeight="true" outlineLevel="0" collapsed="false">
      <c r="A455" s="4" t="s">
        <v>158</v>
      </c>
      <c r="B455" s="4" t="n">
        <v>12820801</v>
      </c>
      <c r="C455" s="4" t="s">
        <v>91</v>
      </c>
      <c r="D455" s="4" t="s">
        <v>103</v>
      </c>
      <c r="E455" s="4" t="n">
        <v>64</v>
      </c>
      <c r="F455" s="4" t="n">
        <v>8.09</v>
      </c>
      <c r="G455" s="4" t="n">
        <v>37</v>
      </c>
      <c r="H455" s="4" t="n">
        <v>4.65</v>
      </c>
      <c r="I455" s="4" t="n">
        <v>3.44</v>
      </c>
    </row>
    <row r="456" customFormat="false" ht="15" hidden="false" customHeight="true" outlineLevel="0" collapsed="false">
      <c r="A456" s="4" t="s">
        <v>158</v>
      </c>
      <c r="B456" s="4" t="n">
        <v>12820801</v>
      </c>
      <c r="C456" s="4" t="s">
        <v>91</v>
      </c>
      <c r="D456" s="4" t="s">
        <v>102</v>
      </c>
      <c r="E456" s="4" t="n">
        <v>89</v>
      </c>
      <c r="F456" s="4" t="n">
        <v>11.25</v>
      </c>
      <c r="G456" s="4" t="n">
        <v>61</v>
      </c>
      <c r="H456" s="4" t="n">
        <v>7.66</v>
      </c>
      <c r="I456" s="4" t="n">
        <v>3.59</v>
      </c>
    </row>
    <row r="457" customFormat="false" ht="15" hidden="false" customHeight="true" outlineLevel="0" collapsed="false">
      <c r="A457" s="4" t="s">
        <v>158</v>
      </c>
      <c r="B457" s="4" t="n">
        <v>12820801</v>
      </c>
      <c r="C457" s="4" t="s">
        <v>91</v>
      </c>
      <c r="D457" s="4" t="s">
        <v>105</v>
      </c>
      <c r="E457" s="4" t="n">
        <v>27</v>
      </c>
      <c r="F457" s="4" t="n">
        <v>3.41</v>
      </c>
      <c r="G457" s="4" t="n">
        <v>35</v>
      </c>
      <c r="H457" s="4" t="n">
        <v>4.4</v>
      </c>
      <c r="I457" s="4" t="n">
        <v>-0.98</v>
      </c>
    </row>
    <row r="458" customFormat="false" ht="15" hidden="false" customHeight="true" outlineLevel="0" collapsed="false">
      <c r="A458" s="4" t="s">
        <v>158</v>
      </c>
      <c r="B458" s="4" t="n">
        <v>12820801</v>
      </c>
      <c r="C458" s="4" t="s">
        <v>91</v>
      </c>
      <c r="D458" s="4" t="s">
        <v>104</v>
      </c>
      <c r="E458" s="4" t="n">
        <v>41</v>
      </c>
      <c r="F458" s="4" t="n">
        <v>5.18</v>
      </c>
      <c r="G458" s="4" t="n">
        <v>46</v>
      </c>
      <c r="H458" s="4" t="n">
        <v>5.78</v>
      </c>
      <c r="I458" s="4" t="n">
        <v>-0.6</v>
      </c>
    </row>
    <row r="459" customFormat="false" ht="15" hidden="false" customHeight="true" outlineLevel="0" collapsed="false">
      <c r="A459" s="4" t="s">
        <v>158</v>
      </c>
      <c r="B459" s="4" t="n">
        <v>12820801</v>
      </c>
      <c r="C459" s="4" t="s">
        <v>91</v>
      </c>
      <c r="D459" s="4" t="s">
        <v>106</v>
      </c>
      <c r="E459" s="4" t="n">
        <v>22</v>
      </c>
      <c r="F459" s="4" t="n">
        <v>2.78</v>
      </c>
      <c r="G459" s="4" t="n">
        <v>18</v>
      </c>
      <c r="H459" s="4" t="n">
        <v>2.26</v>
      </c>
      <c r="I459" s="4" t="n">
        <v>0.52</v>
      </c>
    </row>
    <row r="460" customFormat="false" ht="15" hidden="false" customHeight="true" outlineLevel="0" collapsed="false">
      <c r="A460" s="4" t="s">
        <v>158</v>
      </c>
      <c r="B460" s="4" t="n">
        <v>12820801</v>
      </c>
      <c r="C460" s="4" t="s">
        <v>91</v>
      </c>
      <c r="D460" s="4" t="s">
        <v>12</v>
      </c>
      <c r="E460" s="4" t="n">
        <v>13</v>
      </c>
      <c r="F460" s="4" t="n">
        <v>1.64</v>
      </c>
      <c r="G460" s="4" t="n">
        <v>9</v>
      </c>
      <c r="H460" s="4" t="n">
        <v>1.13</v>
      </c>
      <c r="I460" s="4" t="n">
        <v>0.51</v>
      </c>
    </row>
    <row r="461" customFormat="false" ht="15" hidden="false" customHeight="true" outlineLevel="0" collapsed="false">
      <c r="A461" s="4" t="s">
        <v>158</v>
      </c>
      <c r="B461" s="4" t="n">
        <v>12820802</v>
      </c>
      <c r="C461" s="4" t="s">
        <v>93</v>
      </c>
      <c r="D461" s="4" t="s">
        <v>99</v>
      </c>
      <c r="E461" s="4" t="n">
        <v>259</v>
      </c>
      <c r="F461" s="4" t="n">
        <v>24.09</v>
      </c>
      <c r="G461" s="4" t="n">
        <v>264</v>
      </c>
      <c r="H461" s="4" t="n">
        <v>25.17</v>
      </c>
      <c r="I461" s="4" t="n">
        <v>-1.07</v>
      </c>
    </row>
    <row r="462" customFormat="false" ht="15" hidden="false" customHeight="true" outlineLevel="0" collapsed="false">
      <c r="A462" s="4" t="s">
        <v>158</v>
      </c>
      <c r="B462" s="4" t="n">
        <v>12820802</v>
      </c>
      <c r="C462" s="4" t="s">
        <v>93</v>
      </c>
      <c r="D462" s="4" t="s">
        <v>101</v>
      </c>
      <c r="E462" s="4" t="n">
        <v>316</v>
      </c>
      <c r="F462" s="4" t="n">
        <v>29.4</v>
      </c>
      <c r="G462" s="4" t="n">
        <v>283</v>
      </c>
      <c r="H462" s="4" t="n">
        <v>26.98</v>
      </c>
      <c r="I462" s="4" t="n">
        <v>2.42</v>
      </c>
    </row>
    <row r="463" customFormat="false" ht="15" hidden="false" customHeight="true" outlineLevel="0" collapsed="false">
      <c r="A463" s="4" t="s">
        <v>158</v>
      </c>
      <c r="B463" s="4" t="n">
        <v>12820802</v>
      </c>
      <c r="C463" s="4" t="s">
        <v>93</v>
      </c>
      <c r="D463" s="4" t="s">
        <v>100</v>
      </c>
      <c r="E463" s="4" t="n">
        <v>144</v>
      </c>
      <c r="F463" s="4" t="n">
        <v>13.4</v>
      </c>
      <c r="G463" s="4" t="n">
        <v>156</v>
      </c>
      <c r="H463" s="4" t="n">
        <v>14.87</v>
      </c>
      <c r="I463" s="4" t="n">
        <v>-1.48</v>
      </c>
    </row>
    <row r="464" customFormat="false" ht="15" hidden="false" customHeight="true" outlineLevel="0" collapsed="false">
      <c r="A464" s="4" t="s">
        <v>158</v>
      </c>
      <c r="B464" s="4" t="n">
        <v>12820802</v>
      </c>
      <c r="C464" s="4" t="s">
        <v>93</v>
      </c>
      <c r="D464" s="4" t="s">
        <v>103</v>
      </c>
      <c r="E464" s="4" t="n">
        <v>18</v>
      </c>
      <c r="F464" s="4" t="n">
        <v>1.67</v>
      </c>
      <c r="G464" s="4" t="n">
        <v>28</v>
      </c>
      <c r="H464" s="4" t="n">
        <v>2.67</v>
      </c>
      <c r="I464" s="4" t="n">
        <v>-0.99</v>
      </c>
    </row>
    <row r="465" customFormat="false" ht="15" hidden="false" customHeight="true" outlineLevel="0" collapsed="false">
      <c r="A465" s="4" t="s">
        <v>158</v>
      </c>
      <c r="B465" s="4" t="n">
        <v>12820802</v>
      </c>
      <c r="C465" s="4" t="s">
        <v>93</v>
      </c>
      <c r="D465" s="4" t="s">
        <v>102</v>
      </c>
      <c r="E465" s="4" t="n">
        <v>131</v>
      </c>
      <c r="F465" s="4" t="n">
        <v>12.19</v>
      </c>
      <c r="G465" s="4" t="n">
        <v>142</v>
      </c>
      <c r="H465" s="4" t="n">
        <v>13.54</v>
      </c>
      <c r="I465" s="4" t="n">
        <v>-1.35</v>
      </c>
    </row>
    <row r="466" customFormat="false" ht="15" hidden="false" customHeight="true" outlineLevel="0" collapsed="false">
      <c r="A466" s="4" t="s">
        <v>158</v>
      </c>
      <c r="B466" s="4" t="n">
        <v>12820802</v>
      </c>
      <c r="C466" s="4" t="s">
        <v>93</v>
      </c>
      <c r="D466" s="4" t="s">
        <v>105</v>
      </c>
      <c r="E466" s="4" t="n">
        <v>66</v>
      </c>
      <c r="F466" s="4" t="n">
        <v>6.14</v>
      </c>
      <c r="G466" s="4" t="n">
        <v>49</v>
      </c>
      <c r="H466" s="4" t="n">
        <v>4.67</v>
      </c>
      <c r="I466" s="4" t="n">
        <v>1.47</v>
      </c>
    </row>
    <row r="467" customFormat="false" ht="15" hidden="false" customHeight="true" outlineLevel="0" collapsed="false">
      <c r="A467" s="4" t="s">
        <v>158</v>
      </c>
      <c r="B467" s="4" t="n">
        <v>12820802</v>
      </c>
      <c r="C467" s="4" t="s">
        <v>93</v>
      </c>
      <c r="D467" s="4" t="s">
        <v>104</v>
      </c>
      <c r="E467" s="4" t="n">
        <v>77</v>
      </c>
      <c r="F467" s="4" t="n">
        <v>7.16</v>
      </c>
      <c r="G467" s="4" t="n">
        <v>84</v>
      </c>
      <c r="H467" s="4" t="n">
        <v>8.01</v>
      </c>
      <c r="I467" s="4" t="n">
        <v>-0.84</v>
      </c>
    </row>
    <row r="468" customFormat="false" ht="15" hidden="false" customHeight="true" outlineLevel="0" collapsed="false">
      <c r="A468" s="4" t="s">
        <v>158</v>
      </c>
      <c r="B468" s="4" t="n">
        <v>12820802</v>
      </c>
      <c r="C468" s="4" t="s">
        <v>93</v>
      </c>
      <c r="D468" s="4" t="s">
        <v>106</v>
      </c>
      <c r="E468" s="4" t="n">
        <v>48</v>
      </c>
      <c r="F468" s="4" t="n">
        <v>4.47</v>
      </c>
      <c r="G468" s="4" t="n">
        <v>29</v>
      </c>
      <c r="H468" s="4" t="n">
        <v>2.76</v>
      </c>
      <c r="I468" s="4" t="n">
        <v>1.7</v>
      </c>
    </row>
    <row r="469" customFormat="false" ht="15" hidden="false" customHeight="true" outlineLevel="0" collapsed="false">
      <c r="A469" s="4" t="s">
        <v>158</v>
      </c>
      <c r="B469" s="4" t="n">
        <v>12820802</v>
      </c>
      <c r="C469" s="4" t="s">
        <v>93</v>
      </c>
      <c r="D469" s="4" t="s">
        <v>12</v>
      </c>
      <c r="E469" s="4" t="n">
        <v>16</v>
      </c>
      <c r="F469" s="4" t="n">
        <v>1.49</v>
      </c>
      <c r="G469" s="4" t="n">
        <v>14</v>
      </c>
      <c r="H469" s="4" t="n">
        <v>1.33</v>
      </c>
      <c r="I469" s="4" t="n">
        <v>0.15</v>
      </c>
    </row>
    <row r="470" customFormat="false" ht="15" hidden="false" customHeight="true" outlineLevel="0" collapsed="false">
      <c r="A470" s="4" t="s">
        <v>158</v>
      </c>
      <c r="B470" s="4" t="n">
        <v>12820803</v>
      </c>
      <c r="C470" s="4" t="s">
        <v>95</v>
      </c>
      <c r="D470" s="4" t="s">
        <v>99</v>
      </c>
      <c r="E470" s="4" t="n">
        <v>198</v>
      </c>
      <c r="F470" s="4" t="n">
        <v>22.84</v>
      </c>
      <c r="G470" s="4" t="n">
        <v>244</v>
      </c>
      <c r="H470" s="4" t="n">
        <v>28.24</v>
      </c>
      <c r="I470" s="4" t="n">
        <v>-5.4</v>
      </c>
    </row>
    <row r="471" customFormat="false" ht="15" hidden="false" customHeight="true" outlineLevel="0" collapsed="false">
      <c r="A471" s="4" t="s">
        <v>158</v>
      </c>
      <c r="B471" s="4" t="n">
        <v>12820803</v>
      </c>
      <c r="C471" s="4" t="s">
        <v>95</v>
      </c>
      <c r="D471" s="4" t="s">
        <v>101</v>
      </c>
      <c r="E471" s="4" t="n">
        <v>242</v>
      </c>
      <c r="F471" s="4" t="n">
        <v>27.91</v>
      </c>
      <c r="G471" s="4" t="n">
        <v>207</v>
      </c>
      <c r="H471" s="4" t="n">
        <v>23.96</v>
      </c>
      <c r="I471" s="4" t="n">
        <v>3.95</v>
      </c>
    </row>
    <row r="472" customFormat="false" ht="15" hidden="false" customHeight="true" outlineLevel="0" collapsed="false">
      <c r="A472" s="4" t="s">
        <v>158</v>
      </c>
      <c r="B472" s="4" t="n">
        <v>12820803</v>
      </c>
      <c r="C472" s="4" t="s">
        <v>95</v>
      </c>
      <c r="D472" s="4" t="s">
        <v>100</v>
      </c>
      <c r="E472" s="4" t="n">
        <v>136</v>
      </c>
      <c r="F472" s="4" t="n">
        <v>15.69</v>
      </c>
      <c r="G472" s="4" t="n">
        <v>128</v>
      </c>
      <c r="H472" s="4" t="n">
        <v>14.81</v>
      </c>
      <c r="I472" s="4" t="n">
        <v>0.87</v>
      </c>
    </row>
    <row r="473" customFormat="false" ht="15" hidden="false" customHeight="true" outlineLevel="0" collapsed="false">
      <c r="A473" s="4" t="s">
        <v>158</v>
      </c>
      <c r="B473" s="4" t="n">
        <v>12820803</v>
      </c>
      <c r="C473" s="4" t="s">
        <v>95</v>
      </c>
      <c r="D473" s="4" t="s">
        <v>103</v>
      </c>
      <c r="E473" s="4" t="n">
        <v>20</v>
      </c>
      <c r="F473" s="4" t="n">
        <v>2.31</v>
      </c>
      <c r="G473" s="4" t="n">
        <v>26</v>
      </c>
      <c r="H473" s="4" t="n">
        <v>3.01</v>
      </c>
      <c r="I473" s="4" t="n">
        <v>-0.7</v>
      </c>
    </row>
    <row r="474" customFormat="false" ht="15" hidden="false" customHeight="true" outlineLevel="0" collapsed="false">
      <c r="A474" s="4" t="s">
        <v>158</v>
      </c>
      <c r="B474" s="4" t="n">
        <v>12820803</v>
      </c>
      <c r="C474" s="4" t="s">
        <v>95</v>
      </c>
      <c r="D474" s="4" t="s">
        <v>102</v>
      </c>
      <c r="E474" s="4" t="n">
        <v>115</v>
      </c>
      <c r="F474" s="4" t="n">
        <v>13.26</v>
      </c>
      <c r="G474" s="4" t="n">
        <v>112</v>
      </c>
      <c r="H474" s="4" t="n">
        <v>12.96</v>
      </c>
      <c r="I474" s="4" t="n">
        <v>0.3</v>
      </c>
    </row>
    <row r="475" customFormat="false" ht="15" hidden="false" customHeight="true" outlineLevel="0" collapsed="false">
      <c r="A475" s="4" t="s">
        <v>158</v>
      </c>
      <c r="B475" s="4" t="n">
        <v>12820803</v>
      </c>
      <c r="C475" s="4" t="s">
        <v>95</v>
      </c>
      <c r="D475" s="4" t="s">
        <v>105</v>
      </c>
      <c r="E475" s="4" t="n">
        <v>58</v>
      </c>
      <c r="F475" s="4" t="n">
        <v>6.69</v>
      </c>
      <c r="G475" s="4" t="n">
        <v>44</v>
      </c>
      <c r="H475" s="4" t="n">
        <v>5.09</v>
      </c>
      <c r="I475" s="4" t="n">
        <v>1.6</v>
      </c>
    </row>
    <row r="476" customFormat="false" ht="15" hidden="false" customHeight="true" outlineLevel="0" collapsed="false">
      <c r="A476" s="4" t="s">
        <v>158</v>
      </c>
      <c r="B476" s="4" t="n">
        <v>12820803</v>
      </c>
      <c r="C476" s="4" t="s">
        <v>95</v>
      </c>
      <c r="D476" s="4" t="s">
        <v>104</v>
      </c>
      <c r="E476" s="4" t="n">
        <v>62</v>
      </c>
      <c r="F476" s="4" t="n">
        <v>7.15</v>
      </c>
      <c r="G476" s="4" t="n">
        <v>73</v>
      </c>
      <c r="H476" s="4" t="n">
        <v>8.45</v>
      </c>
      <c r="I476" s="4" t="n">
        <v>-1.3</v>
      </c>
    </row>
    <row r="477" customFormat="false" ht="15" hidden="false" customHeight="true" outlineLevel="0" collapsed="false">
      <c r="A477" s="4" t="s">
        <v>158</v>
      </c>
      <c r="B477" s="4" t="n">
        <v>12820803</v>
      </c>
      <c r="C477" s="4" t="s">
        <v>95</v>
      </c>
      <c r="D477" s="4" t="s">
        <v>106</v>
      </c>
      <c r="E477" s="4" t="n">
        <v>33</v>
      </c>
      <c r="F477" s="4" t="n">
        <v>3.81</v>
      </c>
      <c r="G477" s="4" t="n">
        <v>23</v>
      </c>
      <c r="H477" s="4" t="n">
        <v>2.66</v>
      </c>
      <c r="I477" s="4" t="n">
        <v>1.14</v>
      </c>
    </row>
    <row r="478" customFormat="false" ht="15" hidden="false" customHeight="true" outlineLevel="0" collapsed="false">
      <c r="A478" s="4" t="s">
        <v>158</v>
      </c>
      <c r="B478" s="4" t="n">
        <v>12820803</v>
      </c>
      <c r="C478" s="4" t="s">
        <v>95</v>
      </c>
      <c r="D478" s="4" t="s">
        <v>12</v>
      </c>
      <c r="E478" s="4" t="n">
        <v>3</v>
      </c>
      <c r="F478" s="4" t="n">
        <v>0.35</v>
      </c>
      <c r="G478" s="4" t="n">
        <v>7</v>
      </c>
      <c r="H478" s="4" t="n">
        <v>0.81</v>
      </c>
      <c r="I478" s="4" t="n">
        <v>-0.46</v>
      </c>
    </row>
    <row r="479" customFormat="false" ht="15" hidden="false" customHeight="true" outlineLevel="0" collapsed="false">
      <c r="A479" s="4" t="s">
        <v>158</v>
      </c>
      <c r="B479" s="4" t="n">
        <v>128200</v>
      </c>
      <c r="C479" s="4" t="s">
        <v>147</v>
      </c>
      <c r="D479" s="4" t="s">
        <v>99</v>
      </c>
      <c r="E479" s="4" t="n">
        <v>244</v>
      </c>
      <c r="F479" s="4" t="n">
        <v>31.04</v>
      </c>
      <c r="G479" s="4"/>
      <c r="H479" s="4"/>
      <c r="I479" s="4"/>
    </row>
    <row r="480" customFormat="false" ht="15" hidden="false" customHeight="true" outlineLevel="0" collapsed="false">
      <c r="A480" s="4" t="s">
        <v>158</v>
      </c>
      <c r="B480" s="4" t="n">
        <v>128200</v>
      </c>
      <c r="C480" s="4" t="s">
        <v>147</v>
      </c>
      <c r="D480" s="4" t="s">
        <v>101</v>
      </c>
      <c r="E480" s="4" t="n">
        <v>145</v>
      </c>
      <c r="F480" s="4" t="n">
        <v>18.45</v>
      </c>
      <c r="G480" s="4"/>
      <c r="H480" s="4"/>
      <c r="I480" s="4"/>
    </row>
    <row r="481" customFormat="false" ht="15" hidden="false" customHeight="true" outlineLevel="0" collapsed="false">
      <c r="A481" s="4" t="s">
        <v>158</v>
      </c>
      <c r="B481" s="4" t="n">
        <v>128200</v>
      </c>
      <c r="C481" s="4" t="s">
        <v>147</v>
      </c>
      <c r="D481" s="4" t="s">
        <v>100</v>
      </c>
      <c r="E481" s="4" t="n">
        <v>145</v>
      </c>
      <c r="F481" s="4" t="n">
        <v>18.45</v>
      </c>
      <c r="G481" s="4"/>
      <c r="H481" s="4"/>
      <c r="I481" s="4"/>
    </row>
    <row r="482" customFormat="false" ht="15" hidden="false" customHeight="true" outlineLevel="0" collapsed="false">
      <c r="A482" s="4" t="s">
        <v>158</v>
      </c>
      <c r="B482" s="4" t="n">
        <v>128200</v>
      </c>
      <c r="C482" s="4" t="s">
        <v>147</v>
      </c>
      <c r="D482" s="4" t="s">
        <v>103</v>
      </c>
      <c r="E482" s="4" t="n">
        <v>86</v>
      </c>
      <c r="F482" s="4" t="n">
        <v>10.94</v>
      </c>
      <c r="G482" s="4"/>
      <c r="H482" s="4"/>
      <c r="I482" s="4"/>
    </row>
    <row r="483" customFormat="false" ht="15" hidden="false" customHeight="true" outlineLevel="0" collapsed="false">
      <c r="A483" s="4" t="s">
        <v>158</v>
      </c>
      <c r="B483" s="4" t="n">
        <v>128200</v>
      </c>
      <c r="C483" s="4" t="s">
        <v>147</v>
      </c>
      <c r="D483" s="4" t="s">
        <v>102</v>
      </c>
      <c r="E483" s="4" t="n">
        <v>75</v>
      </c>
      <c r="F483" s="4" t="n">
        <v>9.54</v>
      </c>
      <c r="G483" s="4"/>
      <c r="H483" s="4"/>
      <c r="I483" s="4"/>
    </row>
    <row r="484" customFormat="false" ht="15" hidden="false" customHeight="true" outlineLevel="0" collapsed="false">
      <c r="A484" s="4" t="s">
        <v>158</v>
      </c>
      <c r="B484" s="4" t="n">
        <v>128200</v>
      </c>
      <c r="C484" s="4" t="s">
        <v>147</v>
      </c>
      <c r="D484" s="4" t="s">
        <v>105</v>
      </c>
      <c r="E484" s="4" t="n">
        <v>25</v>
      </c>
      <c r="F484" s="4" t="n">
        <v>3.18</v>
      </c>
      <c r="G484" s="4"/>
      <c r="H484" s="4"/>
      <c r="I484" s="4"/>
    </row>
    <row r="485" customFormat="false" ht="15" hidden="false" customHeight="true" outlineLevel="0" collapsed="false">
      <c r="A485" s="4" t="s">
        <v>158</v>
      </c>
      <c r="B485" s="4" t="n">
        <v>128200</v>
      </c>
      <c r="C485" s="4" t="s">
        <v>147</v>
      </c>
      <c r="D485" s="4" t="s">
        <v>104</v>
      </c>
      <c r="E485" s="4" t="n">
        <v>28</v>
      </c>
      <c r="F485" s="4" t="n">
        <v>3.56</v>
      </c>
      <c r="G485" s="4"/>
      <c r="H485" s="4"/>
      <c r="I485" s="4"/>
    </row>
    <row r="486" customFormat="false" ht="15" hidden="false" customHeight="true" outlineLevel="0" collapsed="false">
      <c r="A486" s="4" t="s">
        <v>158</v>
      </c>
      <c r="B486" s="4" t="n">
        <v>128200</v>
      </c>
      <c r="C486" s="4" t="s">
        <v>147</v>
      </c>
      <c r="D486" s="4" t="s">
        <v>106</v>
      </c>
      <c r="E486" s="4" t="n">
        <v>31</v>
      </c>
      <c r="F486" s="4" t="n">
        <v>3.94</v>
      </c>
      <c r="G486" s="4"/>
      <c r="H486" s="4"/>
      <c r="I486" s="4"/>
    </row>
    <row r="487" customFormat="false" ht="15" hidden="false" customHeight="true" outlineLevel="0" collapsed="false">
      <c r="A487" s="4" t="s">
        <v>158</v>
      </c>
      <c r="B487" s="4" t="n">
        <v>128200</v>
      </c>
      <c r="C487" s="4" t="s">
        <v>147</v>
      </c>
      <c r="D487" s="4" t="s">
        <v>12</v>
      </c>
      <c r="E487" s="4" t="n">
        <v>7</v>
      </c>
      <c r="F487" s="4" t="n">
        <v>0.89</v>
      </c>
      <c r="G487" s="4"/>
      <c r="H487" s="4"/>
      <c r="I487" s="4"/>
    </row>
    <row r="488" customFormat="false" ht="15" hidden="false" customHeight="true" outlineLevel="0" collapsed="false">
      <c r="A488" s="4" t="s">
        <v>138</v>
      </c>
      <c r="B488" s="4" t="n">
        <v>12820101</v>
      </c>
      <c r="C488" s="4" t="s">
        <v>45</v>
      </c>
      <c r="D488" s="4" t="s">
        <v>99</v>
      </c>
      <c r="E488" s="4" t="n">
        <v>249</v>
      </c>
      <c r="F488" s="4" t="n">
        <v>21.45</v>
      </c>
      <c r="G488" s="4" t="n">
        <v>205</v>
      </c>
      <c r="H488" s="4" t="n">
        <v>17.48</v>
      </c>
      <c r="I488" s="4" t="n">
        <v>3.97</v>
      </c>
    </row>
    <row r="489" customFormat="false" ht="15" hidden="false" customHeight="true" outlineLevel="0" collapsed="false">
      <c r="A489" s="4" t="s">
        <v>138</v>
      </c>
      <c r="B489" s="4" t="n">
        <v>12820101</v>
      </c>
      <c r="C489" s="4" t="s">
        <v>45</v>
      </c>
      <c r="D489" s="4" t="s">
        <v>101</v>
      </c>
      <c r="E489" s="4" t="n">
        <v>56</v>
      </c>
      <c r="F489" s="4" t="n">
        <v>4.82</v>
      </c>
      <c r="G489" s="4" t="n">
        <v>74</v>
      </c>
      <c r="H489" s="4" t="n">
        <v>6.31</v>
      </c>
      <c r="I489" s="4" t="n">
        <v>-1.49</v>
      </c>
    </row>
    <row r="490" customFormat="false" ht="15" hidden="false" customHeight="true" outlineLevel="0" collapsed="false">
      <c r="A490" s="4" t="s">
        <v>138</v>
      </c>
      <c r="B490" s="4" t="n">
        <v>12820101</v>
      </c>
      <c r="C490" s="4" t="s">
        <v>45</v>
      </c>
      <c r="D490" s="4" t="s">
        <v>100</v>
      </c>
      <c r="E490" s="4" t="n">
        <v>189</v>
      </c>
      <c r="F490" s="4" t="n">
        <v>16.28</v>
      </c>
      <c r="G490" s="4" t="n">
        <v>230</v>
      </c>
      <c r="H490" s="4" t="n">
        <v>19.61</v>
      </c>
      <c r="I490" s="4" t="n">
        <v>-3.33</v>
      </c>
    </row>
    <row r="491" customFormat="false" ht="15" hidden="false" customHeight="true" outlineLevel="0" collapsed="false">
      <c r="A491" s="4" t="s">
        <v>138</v>
      </c>
      <c r="B491" s="4" t="n">
        <v>12820101</v>
      </c>
      <c r="C491" s="4" t="s">
        <v>45</v>
      </c>
      <c r="D491" s="4" t="s">
        <v>103</v>
      </c>
      <c r="E491" s="4" t="n">
        <v>57</v>
      </c>
      <c r="F491" s="4" t="n">
        <v>4.91</v>
      </c>
      <c r="G491" s="4" t="n">
        <v>31</v>
      </c>
      <c r="H491" s="4" t="n">
        <v>2.64</v>
      </c>
      <c r="I491" s="4" t="n">
        <v>2.27</v>
      </c>
    </row>
    <row r="492" customFormat="false" ht="15" hidden="false" customHeight="true" outlineLevel="0" collapsed="false">
      <c r="A492" s="4" t="s">
        <v>138</v>
      </c>
      <c r="B492" s="4" t="n">
        <v>12820101</v>
      </c>
      <c r="C492" s="4" t="s">
        <v>45</v>
      </c>
      <c r="D492" s="4" t="s">
        <v>102</v>
      </c>
      <c r="E492" s="4" t="n">
        <v>541</v>
      </c>
      <c r="F492" s="4" t="n">
        <v>46.6</v>
      </c>
      <c r="G492" s="4" t="n">
        <v>563</v>
      </c>
      <c r="H492" s="4" t="n">
        <v>48</v>
      </c>
      <c r="I492" s="4" t="n">
        <v>-1.4</v>
      </c>
    </row>
    <row r="493" customFormat="false" ht="15" hidden="false" customHeight="true" outlineLevel="0" collapsed="false">
      <c r="A493" s="4" t="s">
        <v>138</v>
      </c>
      <c r="B493" s="4" t="n">
        <v>12820101</v>
      </c>
      <c r="C493" s="4" t="s">
        <v>45</v>
      </c>
      <c r="D493" s="4" t="s">
        <v>105</v>
      </c>
      <c r="E493" s="4" t="n">
        <v>13</v>
      </c>
      <c r="F493" s="4" t="n">
        <v>1.12</v>
      </c>
      <c r="G493" s="4" t="n">
        <v>12</v>
      </c>
      <c r="H493" s="4" t="n">
        <v>1.02</v>
      </c>
      <c r="I493" s="4" t="n">
        <v>0.1</v>
      </c>
    </row>
    <row r="494" customFormat="false" ht="15" hidden="false" customHeight="true" outlineLevel="0" collapsed="false">
      <c r="A494" s="4" t="s">
        <v>138</v>
      </c>
      <c r="B494" s="4" t="n">
        <v>12820101</v>
      </c>
      <c r="C494" s="4" t="s">
        <v>45</v>
      </c>
      <c r="D494" s="4" t="s">
        <v>104</v>
      </c>
      <c r="E494" s="4" t="n">
        <v>13</v>
      </c>
      <c r="F494" s="4" t="n">
        <v>1.12</v>
      </c>
      <c r="G494" s="4" t="n">
        <v>17</v>
      </c>
      <c r="H494" s="4" t="n">
        <v>1.45</v>
      </c>
      <c r="I494" s="4" t="n">
        <v>-0.33</v>
      </c>
    </row>
    <row r="495" customFormat="false" ht="15" hidden="false" customHeight="true" outlineLevel="0" collapsed="false">
      <c r="A495" s="4" t="s">
        <v>138</v>
      </c>
      <c r="B495" s="4" t="n">
        <v>12820101</v>
      </c>
      <c r="C495" s="4" t="s">
        <v>45</v>
      </c>
      <c r="D495" s="4" t="s">
        <v>106</v>
      </c>
      <c r="E495" s="4" t="n">
        <v>29</v>
      </c>
      <c r="F495" s="4" t="n">
        <v>2.5</v>
      </c>
      <c r="G495" s="4" t="n">
        <v>33</v>
      </c>
      <c r="H495" s="4" t="n">
        <v>2.81</v>
      </c>
      <c r="I495" s="4" t="n">
        <v>-0.32</v>
      </c>
    </row>
    <row r="496" customFormat="false" ht="15" hidden="false" customHeight="true" outlineLevel="0" collapsed="false">
      <c r="A496" s="4" t="s">
        <v>138</v>
      </c>
      <c r="B496" s="4" t="n">
        <v>12820101</v>
      </c>
      <c r="C496" s="4" t="s">
        <v>45</v>
      </c>
      <c r="D496" s="4" t="s">
        <v>144</v>
      </c>
      <c r="E496" s="4" t="n">
        <v>12</v>
      </c>
      <c r="F496" s="4" t="n">
        <v>1.03</v>
      </c>
      <c r="G496" s="4" t="n">
        <v>0</v>
      </c>
      <c r="H496" s="4" t="n">
        <v>0</v>
      </c>
      <c r="I496" s="4" t="n">
        <v>1.03</v>
      </c>
    </row>
    <row r="497" customFormat="false" ht="15" hidden="false" customHeight="true" outlineLevel="0" collapsed="false">
      <c r="A497" s="4" t="s">
        <v>138</v>
      </c>
      <c r="B497" s="4" t="n">
        <v>12820101</v>
      </c>
      <c r="C497" s="4" t="s">
        <v>45</v>
      </c>
      <c r="D497" s="4" t="s">
        <v>12</v>
      </c>
      <c r="E497" s="4" t="n">
        <v>2</v>
      </c>
      <c r="F497" s="4" t="n">
        <v>0.17</v>
      </c>
      <c r="G497" s="4" t="n">
        <v>8</v>
      </c>
      <c r="H497" s="4" t="n">
        <v>0.68</v>
      </c>
      <c r="I497" s="4" t="n">
        <v>-0.51</v>
      </c>
    </row>
    <row r="498" customFormat="false" ht="15" hidden="false" customHeight="true" outlineLevel="0" collapsed="false">
      <c r="A498" s="4" t="s">
        <v>138</v>
      </c>
      <c r="B498" s="4" t="n">
        <v>12820102</v>
      </c>
      <c r="C498" s="4" t="s">
        <v>47</v>
      </c>
      <c r="D498" s="4" t="s">
        <v>99</v>
      </c>
      <c r="E498" s="4" t="n">
        <v>291</v>
      </c>
      <c r="F498" s="4" t="n">
        <v>25.75</v>
      </c>
      <c r="G498" s="4" t="n">
        <v>281</v>
      </c>
      <c r="H498" s="4" t="n">
        <v>26.66</v>
      </c>
      <c r="I498" s="4" t="n">
        <v>-0.91</v>
      </c>
    </row>
    <row r="499" customFormat="false" ht="15" hidden="false" customHeight="true" outlineLevel="0" collapsed="false">
      <c r="A499" s="4" t="s">
        <v>138</v>
      </c>
      <c r="B499" s="4" t="n">
        <v>12820102</v>
      </c>
      <c r="C499" s="4" t="s">
        <v>47</v>
      </c>
      <c r="D499" s="4" t="s">
        <v>101</v>
      </c>
      <c r="E499" s="4" t="n">
        <v>47</v>
      </c>
      <c r="F499" s="4" t="n">
        <v>4.16</v>
      </c>
      <c r="G499" s="4" t="n">
        <v>62</v>
      </c>
      <c r="H499" s="4" t="n">
        <v>5.88</v>
      </c>
      <c r="I499" s="4" t="n">
        <v>-1.72</v>
      </c>
    </row>
    <row r="500" customFormat="false" ht="15" hidden="false" customHeight="true" outlineLevel="0" collapsed="false">
      <c r="A500" s="4" t="s">
        <v>138</v>
      </c>
      <c r="B500" s="4" t="n">
        <v>12820102</v>
      </c>
      <c r="C500" s="4" t="s">
        <v>47</v>
      </c>
      <c r="D500" s="4" t="s">
        <v>100</v>
      </c>
      <c r="E500" s="4" t="n">
        <v>171</v>
      </c>
      <c r="F500" s="4" t="n">
        <v>15.13</v>
      </c>
      <c r="G500" s="4" t="n">
        <v>186</v>
      </c>
      <c r="H500" s="4" t="n">
        <v>17.65</v>
      </c>
      <c r="I500" s="4" t="n">
        <v>-2.51</v>
      </c>
    </row>
    <row r="501" customFormat="false" ht="15" hidden="false" customHeight="true" outlineLevel="0" collapsed="false">
      <c r="A501" s="4" t="s">
        <v>138</v>
      </c>
      <c r="B501" s="4" t="n">
        <v>12820102</v>
      </c>
      <c r="C501" s="4" t="s">
        <v>47</v>
      </c>
      <c r="D501" s="4" t="s">
        <v>103</v>
      </c>
      <c r="E501" s="4" t="n">
        <v>96</v>
      </c>
      <c r="F501" s="4" t="n">
        <v>8.5</v>
      </c>
      <c r="G501" s="4" t="n">
        <v>72</v>
      </c>
      <c r="H501" s="4" t="n">
        <v>6.83</v>
      </c>
      <c r="I501" s="4" t="n">
        <v>1.66</v>
      </c>
    </row>
    <row r="502" customFormat="false" ht="15" hidden="false" customHeight="true" outlineLevel="0" collapsed="false">
      <c r="A502" s="4" t="s">
        <v>138</v>
      </c>
      <c r="B502" s="4" t="n">
        <v>12820102</v>
      </c>
      <c r="C502" s="4" t="s">
        <v>47</v>
      </c>
      <c r="D502" s="4" t="s">
        <v>102</v>
      </c>
      <c r="E502" s="4" t="n">
        <v>433</v>
      </c>
      <c r="F502" s="4" t="n">
        <v>38.32</v>
      </c>
      <c r="G502" s="4" t="n">
        <v>379</v>
      </c>
      <c r="H502" s="4" t="n">
        <v>35.96</v>
      </c>
      <c r="I502" s="4" t="n">
        <v>2.36</v>
      </c>
    </row>
    <row r="503" customFormat="false" ht="15" hidden="false" customHeight="true" outlineLevel="0" collapsed="false">
      <c r="A503" s="4" t="s">
        <v>138</v>
      </c>
      <c r="B503" s="4" t="n">
        <v>12820102</v>
      </c>
      <c r="C503" s="4" t="s">
        <v>47</v>
      </c>
      <c r="D503" s="4" t="s">
        <v>105</v>
      </c>
      <c r="E503" s="4" t="n">
        <v>6</v>
      </c>
      <c r="F503" s="4" t="n">
        <v>0.53</v>
      </c>
      <c r="G503" s="4" t="n">
        <v>7</v>
      </c>
      <c r="H503" s="4" t="n">
        <v>0.66</v>
      </c>
      <c r="I503" s="4" t="n">
        <v>-0.13</v>
      </c>
    </row>
    <row r="504" customFormat="false" ht="15" hidden="false" customHeight="true" outlineLevel="0" collapsed="false">
      <c r="A504" s="4" t="s">
        <v>138</v>
      </c>
      <c r="B504" s="4" t="n">
        <v>12820102</v>
      </c>
      <c r="C504" s="4" t="s">
        <v>47</v>
      </c>
      <c r="D504" s="4" t="s">
        <v>104</v>
      </c>
      <c r="E504" s="4" t="n">
        <v>8</v>
      </c>
      <c r="F504" s="4" t="n">
        <v>0.71</v>
      </c>
      <c r="G504" s="4" t="n">
        <v>24</v>
      </c>
      <c r="H504" s="4" t="n">
        <v>2.28</v>
      </c>
      <c r="I504" s="4" t="n">
        <v>-1.57</v>
      </c>
    </row>
    <row r="505" customFormat="false" ht="15" hidden="false" customHeight="true" outlineLevel="0" collapsed="false">
      <c r="A505" s="4" t="s">
        <v>138</v>
      </c>
      <c r="B505" s="4" t="n">
        <v>12820102</v>
      </c>
      <c r="C505" s="4" t="s">
        <v>47</v>
      </c>
      <c r="D505" s="4" t="s">
        <v>106</v>
      </c>
      <c r="E505" s="4" t="n">
        <v>51</v>
      </c>
      <c r="F505" s="4" t="n">
        <v>4.51</v>
      </c>
      <c r="G505" s="4" t="n">
        <v>42</v>
      </c>
      <c r="H505" s="4" t="n">
        <v>3.98</v>
      </c>
      <c r="I505" s="4" t="n">
        <v>0.53</v>
      </c>
    </row>
    <row r="506" customFormat="false" ht="15" hidden="false" customHeight="true" outlineLevel="0" collapsed="false">
      <c r="A506" s="4" t="s">
        <v>138</v>
      </c>
      <c r="B506" s="4" t="n">
        <v>12820102</v>
      </c>
      <c r="C506" s="4" t="s">
        <v>47</v>
      </c>
      <c r="D506" s="4" t="s">
        <v>144</v>
      </c>
      <c r="E506" s="4" t="n">
        <v>25</v>
      </c>
      <c r="F506" s="4" t="n">
        <v>2.21</v>
      </c>
      <c r="G506" s="4" t="n">
        <v>0</v>
      </c>
      <c r="H506" s="4" t="n">
        <v>0</v>
      </c>
      <c r="I506" s="4" t="n">
        <v>2.21</v>
      </c>
    </row>
    <row r="507" customFormat="false" ht="15" hidden="false" customHeight="true" outlineLevel="0" collapsed="false">
      <c r="A507" s="4" t="s">
        <v>138</v>
      </c>
      <c r="B507" s="4" t="n">
        <v>12820102</v>
      </c>
      <c r="C507" s="4" t="s">
        <v>47</v>
      </c>
      <c r="D507" s="4" t="s">
        <v>12</v>
      </c>
      <c r="E507" s="4" t="n">
        <v>2</v>
      </c>
      <c r="F507" s="4" t="n">
        <v>0.18</v>
      </c>
      <c r="G507" s="4" t="n">
        <v>1</v>
      </c>
      <c r="H507" s="4" t="n">
        <v>0.09</v>
      </c>
      <c r="I507" s="4" t="n">
        <v>0.08</v>
      </c>
    </row>
    <row r="508" customFormat="false" ht="15" hidden="false" customHeight="true" outlineLevel="0" collapsed="false">
      <c r="A508" s="4" t="s">
        <v>138</v>
      </c>
      <c r="B508" s="4" t="n">
        <v>12820103</v>
      </c>
      <c r="C508" s="4" t="s">
        <v>49</v>
      </c>
      <c r="D508" s="4" t="s">
        <v>99</v>
      </c>
      <c r="E508" s="4" t="n">
        <v>433</v>
      </c>
      <c r="F508" s="4" t="n">
        <v>37.42</v>
      </c>
      <c r="G508" s="4" t="n">
        <v>320</v>
      </c>
      <c r="H508" s="4" t="n">
        <v>30.16</v>
      </c>
      <c r="I508" s="4" t="n">
        <v>7.26</v>
      </c>
    </row>
    <row r="509" customFormat="false" ht="15" hidden="false" customHeight="true" outlineLevel="0" collapsed="false">
      <c r="A509" s="4" t="s">
        <v>138</v>
      </c>
      <c r="B509" s="4" t="n">
        <v>12820103</v>
      </c>
      <c r="C509" s="4" t="s">
        <v>49</v>
      </c>
      <c r="D509" s="4" t="s">
        <v>101</v>
      </c>
      <c r="E509" s="4" t="n">
        <v>50</v>
      </c>
      <c r="F509" s="4" t="n">
        <v>4.32</v>
      </c>
      <c r="G509" s="4" t="n">
        <v>49</v>
      </c>
      <c r="H509" s="4" t="n">
        <v>4.62</v>
      </c>
      <c r="I509" s="4" t="n">
        <v>-0.3</v>
      </c>
    </row>
    <row r="510" customFormat="false" ht="15" hidden="false" customHeight="true" outlineLevel="0" collapsed="false">
      <c r="A510" s="4" t="s">
        <v>138</v>
      </c>
      <c r="B510" s="4" t="n">
        <v>12820103</v>
      </c>
      <c r="C510" s="4" t="s">
        <v>49</v>
      </c>
      <c r="D510" s="4" t="s">
        <v>100</v>
      </c>
      <c r="E510" s="4" t="n">
        <v>155</v>
      </c>
      <c r="F510" s="4" t="n">
        <v>13.4</v>
      </c>
      <c r="G510" s="4" t="n">
        <v>209</v>
      </c>
      <c r="H510" s="4" t="n">
        <v>19.7</v>
      </c>
      <c r="I510" s="4" t="n">
        <v>-6.3</v>
      </c>
    </row>
    <row r="511" customFormat="false" ht="15" hidden="false" customHeight="true" outlineLevel="0" collapsed="false">
      <c r="A511" s="4" t="s">
        <v>138</v>
      </c>
      <c r="B511" s="4" t="n">
        <v>12820103</v>
      </c>
      <c r="C511" s="4" t="s">
        <v>49</v>
      </c>
      <c r="D511" s="4" t="s">
        <v>103</v>
      </c>
      <c r="E511" s="4" t="n">
        <v>140</v>
      </c>
      <c r="F511" s="4" t="n">
        <v>12.1</v>
      </c>
      <c r="G511" s="4" t="n">
        <v>82</v>
      </c>
      <c r="H511" s="4" t="n">
        <v>7.73</v>
      </c>
      <c r="I511" s="4" t="n">
        <v>4.37</v>
      </c>
    </row>
    <row r="512" customFormat="false" ht="15" hidden="false" customHeight="true" outlineLevel="0" collapsed="false">
      <c r="A512" s="4" t="s">
        <v>138</v>
      </c>
      <c r="B512" s="4" t="n">
        <v>12820103</v>
      </c>
      <c r="C512" s="4" t="s">
        <v>49</v>
      </c>
      <c r="D512" s="4" t="s">
        <v>102</v>
      </c>
      <c r="E512" s="4" t="n">
        <v>280</v>
      </c>
      <c r="F512" s="4" t="n">
        <v>24.2</v>
      </c>
      <c r="G512" s="4" t="n">
        <v>292</v>
      </c>
      <c r="H512" s="4" t="n">
        <v>27.52</v>
      </c>
      <c r="I512" s="4" t="n">
        <v>-3.32</v>
      </c>
    </row>
    <row r="513" customFormat="false" ht="15" hidden="false" customHeight="true" outlineLevel="0" collapsed="false">
      <c r="A513" s="4" t="s">
        <v>138</v>
      </c>
      <c r="B513" s="4" t="n">
        <v>12820103</v>
      </c>
      <c r="C513" s="4" t="s">
        <v>49</v>
      </c>
      <c r="D513" s="4" t="s">
        <v>105</v>
      </c>
      <c r="E513" s="4" t="n">
        <v>12</v>
      </c>
      <c r="F513" s="4" t="n">
        <v>1.04</v>
      </c>
      <c r="G513" s="4" t="n">
        <v>18</v>
      </c>
      <c r="H513" s="4" t="n">
        <v>1.7</v>
      </c>
      <c r="I513" s="4" t="n">
        <v>-0.66</v>
      </c>
    </row>
    <row r="514" customFormat="false" ht="15" hidden="false" customHeight="true" outlineLevel="0" collapsed="false">
      <c r="A514" s="4" t="s">
        <v>138</v>
      </c>
      <c r="B514" s="4" t="n">
        <v>12820103</v>
      </c>
      <c r="C514" s="4" t="s">
        <v>49</v>
      </c>
      <c r="D514" s="4" t="s">
        <v>104</v>
      </c>
      <c r="E514" s="4" t="n">
        <v>15</v>
      </c>
      <c r="F514" s="4" t="n">
        <v>1.3</v>
      </c>
      <c r="G514" s="4" t="n">
        <v>3</v>
      </c>
      <c r="H514" s="4" t="n">
        <v>0.28</v>
      </c>
      <c r="I514" s="4" t="n">
        <v>1.01</v>
      </c>
    </row>
    <row r="515" customFormat="false" ht="15" hidden="false" customHeight="true" outlineLevel="0" collapsed="false">
      <c r="A515" s="4" t="s">
        <v>138</v>
      </c>
      <c r="B515" s="4" t="n">
        <v>12820103</v>
      </c>
      <c r="C515" s="4" t="s">
        <v>49</v>
      </c>
      <c r="D515" s="4" t="s">
        <v>106</v>
      </c>
      <c r="E515" s="4" t="n">
        <v>51</v>
      </c>
      <c r="F515" s="4" t="n">
        <v>4.41</v>
      </c>
      <c r="G515" s="4" t="n">
        <v>42</v>
      </c>
      <c r="H515" s="4" t="n">
        <v>3.96</v>
      </c>
      <c r="I515" s="4" t="n">
        <v>0.45</v>
      </c>
    </row>
    <row r="516" customFormat="false" ht="15" hidden="false" customHeight="true" outlineLevel="0" collapsed="false">
      <c r="A516" s="4" t="s">
        <v>138</v>
      </c>
      <c r="B516" s="4" t="n">
        <v>12820103</v>
      </c>
      <c r="C516" s="4" t="s">
        <v>49</v>
      </c>
      <c r="D516" s="4" t="s">
        <v>144</v>
      </c>
      <c r="E516" s="4" t="n">
        <v>13</v>
      </c>
      <c r="F516" s="4" t="n">
        <v>1.12</v>
      </c>
      <c r="G516" s="4" t="n">
        <v>0</v>
      </c>
      <c r="H516" s="4" t="n">
        <v>0</v>
      </c>
      <c r="I516" s="4" t="n">
        <v>1.12</v>
      </c>
    </row>
    <row r="517" customFormat="false" ht="15" hidden="false" customHeight="true" outlineLevel="0" collapsed="false">
      <c r="A517" s="4" t="s">
        <v>138</v>
      </c>
      <c r="B517" s="4" t="n">
        <v>12820103</v>
      </c>
      <c r="C517" s="4" t="s">
        <v>49</v>
      </c>
      <c r="D517" s="4" t="s">
        <v>12</v>
      </c>
      <c r="E517" s="4" t="n">
        <v>8</v>
      </c>
      <c r="F517" s="4" t="n">
        <v>0.69</v>
      </c>
      <c r="G517" s="4" t="n">
        <v>46</v>
      </c>
      <c r="H517" s="4" t="n">
        <v>4.34</v>
      </c>
      <c r="I517" s="4" t="n">
        <v>-3.64</v>
      </c>
    </row>
    <row r="518" customFormat="false" ht="15" hidden="false" customHeight="true" outlineLevel="0" collapsed="false">
      <c r="A518" s="4" t="s">
        <v>138</v>
      </c>
      <c r="B518" s="4" t="n">
        <v>12820104</v>
      </c>
      <c r="C518" s="4" t="s">
        <v>51</v>
      </c>
      <c r="D518" s="4" t="s">
        <v>99</v>
      </c>
      <c r="E518" s="4" t="n">
        <v>322</v>
      </c>
      <c r="F518" s="4" t="n">
        <v>27.69</v>
      </c>
      <c r="G518" s="4" t="n">
        <v>215</v>
      </c>
      <c r="H518" s="4" t="n">
        <v>24.83</v>
      </c>
      <c r="I518" s="4" t="n">
        <v>2.86</v>
      </c>
    </row>
    <row r="519" customFormat="false" ht="15" hidden="false" customHeight="true" outlineLevel="0" collapsed="false">
      <c r="A519" s="4" t="s">
        <v>138</v>
      </c>
      <c r="B519" s="4" t="n">
        <v>12820104</v>
      </c>
      <c r="C519" s="4" t="s">
        <v>51</v>
      </c>
      <c r="D519" s="4" t="s">
        <v>101</v>
      </c>
      <c r="E519" s="4" t="n">
        <v>58</v>
      </c>
      <c r="F519" s="4" t="n">
        <v>4.99</v>
      </c>
      <c r="G519" s="4" t="n">
        <v>75</v>
      </c>
      <c r="H519" s="4" t="n">
        <v>8.66</v>
      </c>
      <c r="I519" s="4" t="n">
        <v>-3.67</v>
      </c>
    </row>
    <row r="520" customFormat="false" ht="15" hidden="false" customHeight="true" outlineLevel="0" collapsed="false">
      <c r="A520" s="4" t="s">
        <v>138</v>
      </c>
      <c r="B520" s="4" t="n">
        <v>12820104</v>
      </c>
      <c r="C520" s="4" t="s">
        <v>51</v>
      </c>
      <c r="D520" s="4" t="s">
        <v>100</v>
      </c>
      <c r="E520" s="4" t="n">
        <v>183</v>
      </c>
      <c r="F520" s="4" t="n">
        <v>15.74</v>
      </c>
      <c r="G520" s="4" t="n">
        <v>174</v>
      </c>
      <c r="H520" s="4" t="n">
        <v>20.09</v>
      </c>
      <c r="I520" s="4" t="n">
        <v>-4.36</v>
      </c>
    </row>
    <row r="521" customFormat="false" ht="15" hidden="false" customHeight="true" outlineLevel="0" collapsed="false">
      <c r="A521" s="4" t="s">
        <v>138</v>
      </c>
      <c r="B521" s="4" t="n">
        <v>12820104</v>
      </c>
      <c r="C521" s="4" t="s">
        <v>51</v>
      </c>
      <c r="D521" s="4" t="s">
        <v>103</v>
      </c>
      <c r="E521" s="4" t="n">
        <v>101</v>
      </c>
      <c r="F521" s="4" t="n">
        <v>8.68</v>
      </c>
      <c r="G521" s="4" t="n">
        <v>68</v>
      </c>
      <c r="H521" s="4" t="n">
        <v>7.85</v>
      </c>
      <c r="I521" s="4" t="n">
        <v>0.83</v>
      </c>
    </row>
    <row r="522" customFormat="false" ht="15" hidden="false" customHeight="true" outlineLevel="0" collapsed="false">
      <c r="A522" s="4" t="s">
        <v>138</v>
      </c>
      <c r="B522" s="4" t="n">
        <v>12820104</v>
      </c>
      <c r="C522" s="4" t="s">
        <v>51</v>
      </c>
      <c r="D522" s="4" t="s">
        <v>102</v>
      </c>
      <c r="E522" s="4" t="n">
        <v>411</v>
      </c>
      <c r="F522" s="4" t="n">
        <v>35.34</v>
      </c>
      <c r="G522" s="4" t="n">
        <v>278</v>
      </c>
      <c r="H522" s="4" t="n">
        <v>32.1</v>
      </c>
      <c r="I522" s="4" t="n">
        <v>3.24</v>
      </c>
    </row>
    <row r="523" customFormat="false" ht="15" hidden="false" customHeight="true" outlineLevel="0" collapsed="false">
      <c r="A523" s="4" t="s">
        <v>138</v>
      </c>
      <c r="B523" s="4" t="n">
        <v>12820104</v>
      </c>
      <c r="C523" s="4" t="s">
        <v>51</v>
      </c>
      <c r="D523" s="4" t="s">
        <v>105</v>
      </c>
      <c r="E523" s="4" t="n">
        <v>12</v>
      </c>
      <c r="F523" s="4" t="n">
        <v>1.03</v>
      </c>
      <c r="G523" s="4" t="n">
        <v>15</v>
      </c>
      <c r="H523" s="4" t="n">
        <v>1.73</v>
      </c>
      <c r="I523" s="4" t="n">
        <v>-0.7</v>
      </c>
    </row>
    <row r="524" customFormat="false" ht="15" hidden="false" customHeight="true" outlineLevel="0" collapsed="false">
      <c r="A524" s="4" t="s">
        <v>138</v>
      </c>
      <c r="B524" s="4" t="n">
        <v>12820104</v>
      </c>
      <c r="C524" s="4" t="s">
        <v>51</v>
      </c>
      <c r="D524" s="4" t="s">
        <v>104</v>
      </c>
      <c r="E524" s="4" t="n">
        <v>16</v>
      </c>
      <c r="F524" s="4" t="n">
        <v>1.38</v>
      </c>
      <c r="G524" s="4" t="n">
        <v>9</v>
      </c>
      <c r="H524" s="4" t="n">
        <v>1.04</v>
      </c>
      <c r="I524" s="4" t="n">
        <v>0.34</v>
      </c>
    </row>
    <row r="525" customFormat="false" ht="15" hidden="false" customHeight="true" outlineLevel="0" collapsed="false">
      <c r="A525" s="4" t="s">
        <v>138</v>
      </c>
      <c r="B525" s="4" t="n">
        <v>12820104</v>
      </c>
      <c r="C525" s="4" t="s">
        <v>51</v>
      </c>
      <c r="D525" s="4" t="s">
        <v>106</v>
      </c>
      <c r="E525" s="4" t="n">
        <v>50</v>
      </c>
      <c r="F525" s="4" t="n">
        <v>4.3</v>
      </c>
      <c r="G525" s="4" t="n">
        <v>32</v>
      </c>
      <c r="H525" s="4" t="n">
        <v>3.7</v>
      </c>
      <c r="I525" s="4" t="n">
        <v>0.6</v>
      </c>
    </row>
    <row r="526" customFormat="false" ht="15" hidden="false" customHeight="true" outlineLevel="0" collapsed="false">
      <c r="A526" s="4" t="s">
        <v>138</v>
      </c>
      <c r="B526" s="4" t="n">
        <v>12820104</v>
      </c>
      <c r="C526" s="4" t="s">
        <v>51</v>
      </c>
      <c r="D526" s="4" t="s">
        <v>144</v>
      </c>
      <c r="E526" s="4" t="n">
        <v>9</v>
      </c>
      <c r="F526" s="4" t="n">
        <v>0.77</v>
      </c>
      <c r="G526" s="4" t="n">
        <v>0</v>
      </c>
      <c r="H526" s="4" t="n">
        <v>0</v>
      </c>
      <c r="I526" s="4" t="n">
        <v>0.77</v>
      </c>
    </row>
    <row r="527" customFormat="false" ht="15" hidden="false" customHeight="true" outlineLevel="0" collapsed="false">
      <c r="A527" s="4" t="s">
        <v>138</v>
      </c>
      <c r="B527" s="4" t="n">
        <v>12820104</v>
      </c>
      <c r="C527" s="4" t="s">
        <v>51</v>
      </c>
      <c r="D527" s="4" t="s">
        <v>12</v>
      </c>
      <c r="E527" s="4" t="n">
        <v>1</v>
      </c>
      <c r="F527" s="4" t="n">
        <v>0.09</v>
      </c>
      <c r="G527" s="4" t="n">
        <v>0</v>
      </c>
      <c r="H527" s="4" t="n">
        <v>0</v>
      </c>
      <c r="I527" s="4" t="n">
        <v>0.09</v>
      </c>
    </row>
    <row r="528" customFormat="false" ht="15" hidden="false" customHeight="true" outlineLevel="0" collapsed="false">
      <c r="A528" s="4" t="s">
        <v>138</v>
      </c>
      <c r="B528" s="4" t="n">
        <v>12820105</v>
      </c>
      <c r="C528" s="4" t="s">
        <v>53</v>
      </c>
      <c r="D528" s="4" t="s">
        <v>99</v>
      </c>
      <c r="E528" s="4" t="n">
        <v>413</v>
      </c>
      <c r="F528" s="4" t="n">
        <v>41.09</v>
      </c>
      <c r="G528" s="4" t="n">
        <v>278</v>
      </c>
      <c r="H528" s="4" t="n">
        <v>33.13</v>
      </c>
      <c r="I528" s="4" t="n">
        <v>7.96</v>
      </c>
    </row>
    <row r="529" customFormat="false" ht="15" hidden="false" customHeight="true" outlineLevel="0" collapsed="false">
      <c r="A529" s="4" t="s">
        <v>138</v>
      </c>
      <c r="B529" s="4" t="n">
        <v>12820105</v>
      </c>
      <c r="C529" s="4" t="s">
        <v>53</v>
      </c>
      <c r="D529" s="4" t="s">
        <v>101</v>
      </c>
      <c r="E529" s="4" t="n">
        <v>52</v>
      </c>
      <c r="F529" s="4" t="n">
        <v>5.17</v>
      </c>
      <c r="G529" s="4" t="n">
        <v>52</v>
      </c>
      <c r="H529" s="4" t="n">
        <v>6.2</v>
      </c>
      <c r="I529" s="4" t="n">
        <v>-1.02</v>
      </c>
    </row>
    <row r="530" customFormat="false" ht="15" hidden="false" customHeight="true" outlineLevel="0" collapsed="false">
      <c r="A530" s="4" t="s">
        <v>138</v>
      </c>
      <c r="B530" s="4" t="n">
        <v>12820105</v>
      </c>
      <c r="C530" s="4" t="s">
        <v>53</v>
      </c>
      <c r="D530" s="4" t="s">
        <v>100</v>
      </c>
      <c r="E530" s="4" t="n">
        <v>107</v>
      </c>
      <c r="F530" s="4" t="n">
        <v>10.65</v>
      </c>
      <c r="G530" s="4" t="n">
        <v>170</v>
      </c>
      <c r="H530" s="4" t="n">
        <v>20.26</v>
      </c>
      <c r="I530" s="4" t="n">
        <v>-9.62</v>
      </c>
    </row>
    <row r="531" customFormat="false" ht="15" hidden="false" customHeight="true" outlineLevel="0" collapsed="false">
      <c r="A531" s="4" t="s">
        <v>138</v>
      </c>
      <c r="B531" s="4" t="n">
        <v>12820105</v>
      </c>
      <c r="C531" s="4" t="s">
        <v>53</v>
      </c>
      <c r="D531" s="4" t="s">
        <v>103</v>
      </c>
      <c r="E531" s="4" t="n">
        <v>182</v>
      </c>
      <c r="F531" s="4" t="n">
        <v>18.11</v>
      </c>
      <c r="G531" s="4" t="n">
        <v>83</v>
      </c>
      <c r="H531" s="4" t="n">
        <v>9.89</v>
      </c>
      <c r="I531" s="4" t="n">
        <v>8.22</v>
      </c>
    </row>
    <row r="532" customFormat="false" ht="15" hidden="false" customHeight="true" outlineLevel="0" collapsed="false">
      <c r="A532" s="4" t="s">
        <v>138</v>
      </c>
      <c r="B532" s="4" t="n">
        <v>12820105</v>
      </c>
      <c r="C532" s="4" t="s">
        <v>53</v>
      </c>
      <c r="D532" s="4" t="s">
        <v>102</v>
      </c>
      <c r="E532" s="4" t="n">
        <v>152</v>
      </c>
      <c r="F532" s="4" t="n">
        <v>15.12</v>
      </c>
      <c r="G532" s="4" t="n">
        <v>147</v>
      </c>
      <c r="H532" s="4" t="n">
        <v>17.52</v>
      </c>
      <c r="I532" s="4" t="n">
        <v>-2.4</v>
      </c>
    </row>
    <row r="533" customFormat="false" ht="15" hidden="false" customHeight="true" outlineLevel="0" collapsed="false">
      <c r="A533" s="4" t="s">
        <v>138</v>
      </c>
      <c r="B533" s="4" t="n">
        <v>12820105</v>
      </c>
      <c r="C533" s="4" t="s">
        <v>53</v>
      </c>
      <c r="D533" s="4" t="s">
        <v>105</v>
      </c>
      <c r="E533" s="4" t="n">
        <v>6</v>
      </c>
      <c r="F533" s="4" t="n">
        <v>0.6</v>
      </c>
      <c r="G533" s="4" t="n">
        <v>9</v>
      </c>
      <c r="H533" s="4" t="n">
        <v>1.07</v>
      </c>
      <c r="I533" s="4" t="n">
        <v>-0.48</v>
      </c>
    </row>
    <row r="534" customFormat="false" ht="15" hidden="false" customHeight="true" outlineLevel="0" collapsed="false">
      <c r="A534" s="4" t="s">
        <v>138</v>
      </c>
      <c r="B534" s="4" t="n">
        <v>12820105</v>
      </c>
      <c r="C534" s="4" t="s">
        <v>53</v>
      </c>
      <c r="D534" s="4" t="s">
        <v>104</v>
      </c>
      <c r="E534" s="4" t="n">
        <v>7</v>
      </c>
      <c r="F534" s="4" t="n">
        <v>0.7</v>
      </c>
      <c r="G534" s="4" t="n">
        <v>3</v>
      </c>
      <c r="H534" s="4" t="n">
        <v>0.36</v>
      </c>
      <c r="I534" s="4" t="n">
        <v>0.34</v>
      </c>
    </row>
    <row r="535" customFormat="false" ht="15" hidden="false" customHeight="true" outlineLevel="0" collapsed="false">
      <c r="A535" s="4" t="s">
        <v>138</v>
      </c>
      <c r="B535" s="4" t="n">
        <v>12820105</v>
      </c>
      <c r="C535" s="4" t="s">
        <v>53</v>
      </c>
      <c r="D535" s="4" t="s">
        <v>106</v>
      </c>
      <c r="E535" s="4" t="n">
        <v>47</v>
      </c>
      <c r="F535" s="4" t="n">
        <v>4.68</v>
      </c>
      <c r="G535" s="4" t="n">
        <v>32</v>
      </c>
      <c r="H535" s="4" t="n">
        <v>3.81</v>
      </c>
      <c r="I535" s="4" t="n">
        <v>0.86</v>
      </c>
    </row>
    <row r="536" customFormat="false" ht="15" hidden="false" customHeight="true" outlineLevel="0" collapsed="false">
      <c r="A536" s="4" t="s">
        <v>138</v>
      </c>
      <c r="B536" s="4" t="n">
        <v>12820105</v>
      </c>
      <c r="C536" s="4" t="s">
        <v>53</v>
      </c>
      <c r="D536" s="4" t="s">
        <v>144</v>
      </c>
      <c r="E536" s="4" t="n">
        <v>34</v>
      </c>
      <c r="F536" s="4" t="n">
        <v>3.38</v>
      </c>
      <c r="G536" s="4" t="n">
        <v>0</v>
      </c>
      <c r="H536" s="4" t="n">
        <v>0</v>
      </c>
      <c r="I536" s="4" t="n">
        <v>3.38</v>
      </c>
    </row>
    <row r="537" customFormat="false" ht="15" hidden="false" customHeight="true" outlineLevel="0" collapsed="false">
      <c r="A537" s="4" t="s">
        <v>138</v>
      </c>
      <c r="B537" s="4" t="n">
        <v>12820105</v>
      </c>
      <c r="C537" s="4" t="s">
        <v>53</v>
      </c>
      <c r="D537" s="4" t="s">
        <v>12</v>
      </c>
      <c r="E537" s="4" t="n">
        <v>5</v>
      </c>
      <c r="F537" s="4" t="n">
        <v>0.5</v>
      </c>
      <c r="G537" s="4" t="n">
        <v>65</v>
      </c>
      <c r="H537" s="4" t="n">
        <v>7.75</v>
      </c>
      <c r="I537" s="4" t="n">
        <v>-7.25</v>
      </c>
    </row>
    <row r="538" customFormat="false" ht="15" hidden="false" customHeight="true" outlineLevel="0" collapsed="false">
      <c r="A538" s="4" t="s">
        <v>138</v>
      </c>
      <c r="B538" s="4" t="n">
        <v>12820106</v>
      </c>
      <c r="C538" s="4" t="s">
        <v>55</v>
      </c>
      <c r="D538" s="4" t="s">
        <v>99</v>
      </c>
      <c r="E538" s="4" t="n">
        <v>391</v>
      </c>
      <c r="F538" s="4" t="n">
        <v>36.92</v>
      </c>
      <c r="G538" s="4" t="n">
        <v>337</v>
      </c>
      <c r="H538" s="4" t="n">
        <v>33.9</v>
      </c>
      <c r="I538" s="4" t="n">
        <v>3.02</v>
      </c>
    </row>
    <row r="539" customFormat="false" ht="15" hidden="false" customHeight="true" outlineLevel="0" collapsed="false">
      <c r="A539" s="4" t="s">
        <v>138</v>
      </c>
      <c r="B539" s="4" t="n">
        <v>12820106</v>
      </c>
      <c r="C539" s="4" t="s">
        <v>55</v>
      </c>
      <c r="D539" s="4" t="s">
        <v>101</v>
      </c>
      <c r="E539" s="4" t="n">
        <v>31</v>
      </c>
      <c r="F539" s="4" t="n">
        <v>2.93</v>
      </c>
      <c r="G539" s="4" t="n">
        <v>79</v>
      </c>
      <c r="H539" s="4" t="n">
        <v>7.95</v>
      </c>
      <c r="I539" s="4" t="n">
        <v>-5.02</v>
      </c>
    </row>
    <row r="540" customFormat="false" ht="15" hidden="false" customHeight="true" outlineLevel="0" collapsed="false">
      <c r="A540" s="4" t="s">
        <v>138</v>
      </c>
      <c r="B540" s="4" t="n">
        <v>12820106</v>
      </c>
      <c r="C540" s="4" t="s">
        <v>55</v>
      </c>
      <c r="D540" s="4" t="s">
        <v>100</v>
      </c>
      <c r="E540" s="4" t="n">
        <v>117</v>
      </c>
      <c r="F540" s="4" t="n">
        <v>11.05</v>
      </c>
      <c r="G540" s="4" t="n">
        <v>161</v>
      </c>
      <c r="H540" s="4" t="n">
        <v>16.2</v>
      </c>
      <c r="I540" s="4" t="n">
        <v>-5.15</v>
      </c>
    </row>
    <row r="541" customFormat="false" ht="15" hidden="false" customHeight="true" outlineLevel="0" collapsed="false">
      <c r="A541" s="4" t="s">
        <v>138</v>
      </c>
      <c r="B541" s="4" t="n">
        <v>12820106</v>
      </c>
      <c r="C541" s="4" t="s">
        <v>55</v>
      </c>
      <c r="D541" s="4" t="s">
        <v>103</v>
      </c>
      <c r="E541" s="4" t="n">
        <v>140</v>
      </c>
      <c r="F541" s="4" t="n">
        <v>13.22</v>
      </c>
      <c r="G541" s="4" t="n">
        <v>64</v>
      </c>
      <c r="H541" s="4" t="n">
        <v>6.44</v>
      </c>
      <c r="I541" s="4" t="n">
        <v>6.78</v>
      </c>
    </row>
    <row r="542" customFormat="false" ht="15" hidden="false" customHeight="true" outlineLevel="0" collapsed="false">
      <c r="A542" s="4" t="s">
        <v>138</v>
      </c>
      <c r="B542" s="4" t="n">
        <v>12820106</v>
      </c>
      <c r="C542" s="4" t="s">
        <v>55</v>
      </c>
      <c r="D542" s="4" t="s">
        <v>102</v>
      </c>
      <c r="E542" s="4" t="n">
        <v>266</v>
      </c>
      <c r="F542" s="4" t="n">
        <v>25.12</v>
      </c>
      <c r="G542" s="4" t="n">
        <v>243</v>
      </c>
      <c r="H542" s="4" t="n">
        <v>24.45</v>
      </c>
      <c r="I542" s="4" t="n">
        <v>0.67</v>
      </c>
    </row>
    <row r="543" customFormat="false" ht="15" hidden="false" customHeight="true" outlineLevel="0" collapsed="false">
      <c r="A543" s="4" t="s">
        <v>138</v>
      </c>
      <c r="B543" s="4" t="n">
        <v>12820106</v>
      </c>
      <c r="C543" s="4" t="s">
        <v>55</v>
      </c>
      <c r="D543" s="4" t="s">
        <v>105</v>
      </c>
      <c r="E543" s="4" t="n">
        <v>5</v>
      </c>
      <c r="F543" s="4" t="n">
        <v>0.47</v>
      </c>
      <c r="G543" s="4" t="n">
        <v>11</v>
      </c>
      <c r="H543" s="4" t="n">
        <v>1.11</v>
      </c>
      <c r="I543" s="4" t="n">
        <v>-0.63</v>
      </c>
    </row>
    <row r="544" customFormat="false" ht="15" hidden="false" customHeight="true" outlineLevel="0" collapsed="false">
      <c r="A544" s="4" t="s">
        <v>138</v>
      </c>
      <c r="B544" s="4" t="n">
        <v>12820106</v>
      </c>
      <c r="C544" s="4" t="s">
        <v>55</v>
      </c>
      <c r="D544" s="4" t="s">
        <v>104</v>
      </c>
      <c r="E544" s="4" t="n">
        <v>15</v>
      </c>
      <c r="F544" s="4" t="n">
        <v>1.42</v>
      </c>
      <c r="G544" s="4" t="n">
        <v>5</v>
      </c>
      <c r="H544" s="4" t="n">
        <v>0.5</v>
      </c>
      <c r="I544" s="4" t="n">
        <v>0.91</v>
      </c>
    </row>
    <row r="545" customFormat="false" ht="15" hidden="false" customHeight="true" outlineLevel="0" collapsed="false">
      <c r="A545" s="4" t="s">
        <v>138</v>
      </c>
      <c r="B545" s="4" t="n">
        <v>12820106</v>
      </c>
      <c r="C545" s="4" t="s">
        <v>55</v>
      </c>
      <c r="D545" s="4" t="s">
        <v>106</v>
      </c>
      <c r="E545" s="4" t="n">
        <v>49</v>
      </c>
      <c r="F545" s="4" t="n">
        <v>4.63</v>
      </c>
      <c r="G545" s="4" t="n">
        <v>34</v>
      </c>
      <c r="H545" s="4" t="n">
        <v>3.42</v>
      </c>
      <c r="I545" s="4" t="n">
        <v>1.21</v>
      </c>
    </row>
    <row r="546" customFormat="false" ht="15" hidden="false" customHeight="true" outlineLevel="0" collapsed="false">
      <c r="A546" s="4" t="s">
        <v>138</v>
      </c>
      <c r="B546" s="4" t="n">
        <v>12820106</v>
      </c>
      <c r="C546" s="4" t="s">
        <v>55</v>
      </c>
      <c r="D546" s="4" t="s">
        <v>144</v>
      </c>
      <c r="E546" s="4" t="n">
        <v>37</v>
      </c>
      <c r="F546" s="4" t="n">
        <v>3.49</v>
      </c>
      <c r="G546" s="4" t="n">
        <v>0</v>
      </c>
      <c r="H546" s="4" t="n">
        <v>0</v>
      </c>
      <c r="I546" s="4" t="n">
        <v>3.49</v>
      </c>
    </row>
    <row r="547" customFormat="false" ht="15" hidden="false" customHeight="true" outlineLevel="0" collapsed="false">
      <c r="A547" s="4" t="s">
        <v>138</v>
      </c>
      <c r="B547" s="4" t="n">
        <v>12820106</v>
      </c>
      <c r="C547" s="4" t="s">
        <v>55</v>
      </c>
      <c r="D547" s="4" t="s">
        <v>12</v>
      </c>
      <c r="E547" s="4" t="n">
        <v>8</v>
      </c>
      <c r="F547" s="4" t="n">
        <v>0.76</v>
      </c>
      <c r="G547" s="4" t="n">
        <v>60</v>
      </c>
      <c r="H547" s="4" t="n">
        <v>6.04</v>
      </c>
      <c r="I547" s="4" t="n">
        <v>-5.28</v>
      </c>
    </row>
    <row r="548" customFormat="false" ht="15" hidden="false" customHeight="true" outlineLevel="0" collapsed="false">
      <c r="A548" s="4" t="s">
        <v>138</v>
      </c>
      <c r="B548" s="4" t="n">
        <v>12820107</v>
      </c>
      <c r="C548" s="4" t="s">
        <v>57</v>
      </c>
      <c r="D548" s="4" t="s">
        <v>99</v>
      </c>
      <c r="E548" s="4" t="n">
        <v>210</v>
      </c>
      <c r="F548" s="4" t="n">
        <v>24.31</v>
      </c>
      <c r="G548" s="4" t="n">
        <v>192</v>
      </c>
      <c r="H548" s="4" t="n">
        <v>22.86</v>
      </c>
      <c r="I548" s="4" t="n">
        <v>1.45</v>
      </c>
    </row>
    <row r="549" customFormat="false" ht="15" hidden="false" customHeight="true" outlineLevel="0" collapsed="false">
      <c r="A549" s="4" t="s">
        <v>138</v>
      </c>
      <c r="B549" s="4" t="n">
        <v>12820107</v>
      </c>
      <c r="C549" s="4" t="s">
        <v>57</v>
      </c>
      <c r="D549" s="4" t="s">
        <v>101</v>
      </c>
      <c r="E549" s="4" t="n">
        <v>28</v>
      </c>
      <c r="F549" s="4" t="n">
        <v>3.24</v>
      </c>
      <c r="G549" s="4" t="n">
        <v>32</v>
      </c>
      <c r="H549" s="4" t="n">
        <v>3.81</v>
      </c>
      <c r="I549" s="4" t="n">
        <v>-0.57</v>
      </c>
    </row>
    <row r="550" customFormat="false" ht="15" hidden="false" customHeight="true" outlineLevel="0" collapsed="false">
      <c r="A550" s="4" t="s">
        <v>138</v>
      </c>
      <c r="B550" s="4" t="n">
        <v>12820107</v>
      </c>
      <c r="C550" s="4" t="s">
        <v>57</v>
      </c>
      <c r="D550" s="4" t="s">
        <v>100</v>
      </c>
      <c r="E550" s="4" t="n">
        <v>113</v>
      </c>
      <c r="F550" s="4" t="n">
        <v>13.08</v>
      </c>
      <c r="G550" s="4" t="n">
        <v>143</v>
      </c>
      <c r="H550" s="4" t="n">
        <v>17.02</v>
      </c>
      <c r="I550" s="4" t="n">
        <v>-3.95</v>
      </c>
    </row>
    <row r="551" customFormat="false" ht="15" hidden="false" customHeight="true" outlineLevel="0" collapsed="false">
      <c r="A551" s="4" t="s">
        <v>138</v>
      </c>
      <c r="B551" s="4" t="n">
        <v>12820107</v>
      </c>
      <c r="C551" s="4" t="s">
        <v>57</v>
      </c>
      <c r="D551" s="4" t="s">
        <v>103</v>
      </c>
      <c r="E551" s="4" t="n">
        <v>48</v>
      </c>
      <c r="F551" s="4" t="n">
        <v>5.56</v>
      </c>
      <c r="G551" s="4" t="n">
        <v>35</v>
      </c>
      <c r="H551" s="4" t="n">
        <v>4.17</v>
      </c>
      <c r="I551" s="4" t="n">
        <v>1.39</v>
      </c>
    </row>
    <row r="552" customFormat="false" ht="15" hidden="false" customHeight="true" outlineLevel="0" collapsed="false">
      <c r="A552" s="4" t="s">
        <v>138</v>
      </c>
      <c r="B552" s="4" t="n">
        <v>12820107</v>
      </c>
      <c r="C552" s="4" t="s">
        <v>57</v>
      </c>
      <c r="D552" s="4" t="s">
        <v>102</v>
      </c>
      <c r="E552" s="4" t="n">
        <v>397</v>
      </c>
      <c r="F552" s="4" t="n">
        <v>45.95</v>
      </c>
      <c r="G552" s="4" t="n">
        <v>370</v>
      </c>
      <c r="H552" s="4" t="n">
        <v>44.05</v>
      </c>
      <c r="I552" s="4" t="n">
        <v>1.9</v>
      </c>
    </row>
    <row r="553" customFormat="false" ht="15" hidden="false" customHeight="true" outlineLevel="0" collapsed="false">
      <c r="A553" s="4" t="s">
        <v>138</v>
      </c>
      <c r="B553" s="4" t="n">
        <v>12820107</v>
      </c>
      <c r="C553" s="4" t="s">
        <v>57</v>
      </c>
      <c r="D553" s="4" t="s">
        <v>105</v>
      </c>
      <c r="E553" s="4" t="n">
        <v>16</v>
      </c>
      <c r="F553" s="4" t="n">
        <v>1.85</v>
      </c>
      <c r="G553" s="4" t="n">
        <v>15</v>
      </c>
      <c r="H553" s="4" t="n">
        <v>1.79</v>
      </c>
      <c r="I553" s="4" t="n">
        <v>0.07</v>
      </c>
    </row>
    <row r="554" customFormat="false" ht="15" hidden="false" customHeight="true" outlineLevel="0" collapsed="false">
      <c r="A554" s="4" t="s">
        <v>138</v>
      </c>
      <c r="B554" s="4" t="n">
        <v>12820107</v>
      </c>
      <c r="C554" s="4" t="s">
        <v>57</v>
      </c>
      <c r="D554" s="4" t="s">
        <v>104</v>
      </c>
      <c r="E554" s="4" t="n">
        <v>9</v>
      </c>
      <c r="F554" s="4" t="n">
        <v>1.04</v>
      </c>
      <c r="G554" s="4" t="n">
        <v>12</v>
      </c>
      <c r="H554" s="4" t="n">
        <v>1.43</v>
      </c>
      <c r="I554" s="4" t="n">
        <v>-0.39</v>
      </c>
    </row>
    <row r="555" customFormat="false" ht="15" hidden="false" customHeight="true" outlineLevel="0" collapsed="false">
      <c r="A555" s="4" t="s">
        <v>138</v>
      </c>
      <c r="B555" s="4" t="n">
        <v>12820107</v>
      </c>
      <c r="C555" s="4" t="s">
        <v>57</v>
      </c>
      <c r="D555" s="4" t="s">
        <v>106</v>
      </c>
      <c r="E555" s="4" t="n">
        <v>38</v>
      </c>
      <c r="F555" s="4" t="n">
        <v>4.4</v>
      </c>
      <c r="G555" s="4" t="n">
        <v>40</v>
      </c>
      <c r="H555" s="4" t="n">
        <v>4.76</v>
      </c>
      <c r="I555" s="4" t="n">
        <v>-0.36</v>
      </c>
    </row>
    <row r="556" customFormat="false" ht="15" hidden="false" customHeight="true" outlineLevel="0" collapsed="false">
      <c r="A556" s="4" t="s">
        <v>138</v>
      </c>
      <c r="B556" s="4" t="n">
        <v>12820107</v>
      </c>
      <c r="C556" s="4" t="s">
        <v>57</v>
      </c>
      <c r="D556" s="4" t="s">
        <v>144</v>
      </c>
      <c r="E556" s="4" t="n">
        <v>3</v>
      </c>
      <c r="F556" s="4" t="n">
        <v>0.35</v>
      </c>
      <c r="G556" s="4" t="n">
        <v>0</v>
      </c>
      <c r="H556" s="4" t="n">
        <v>0</v>
      </c>
      <c r="I556" s="4" t="n">
        <v>0.35</v>
      </c>
    </row>
    <row r="557" customFormat="false" ht="15" hidden="false" customHeight="true" outlineLevel="0" collapsed="false">
      <c r="A557" s="4" t="s">
        <v>138</v>
      </c>
      <c r="B557" s="4" t="n">
        <v>12820107</v>
      </c>
      <c r="C557" s="4" t="s">
        <v>57</v>
      </c>
      <c r="D557" s="4" t="s">
        <v>12</v>
      </c>
      <c r="E557" s="4" t="n">
        <v>2</v>
      </c>
      <c r="F557" s="4" t="n">
        <v>0.23</v>
      </c>
      <c r="G557" s="4" t="n">
        <v>1</v>
      </c>
      <c r="H557" s="4" t="n">
        <v>0.12</v>
      </c>
      <c r="I557" s="4" t="n">
        <v>0.11</v>
      </c>
    </row>
    <row r="558" customFormat="false" ht="15" hidden="false" customHeight="true" outlineLevel="0" collapsed="false">
      <c r="A558" s="4" t="s">
        <v>138</v>
      </c>
      <c r="B558" s="4" t="n">
        <v>12820108</v>
      </c>
      <c r="C558" s="4" t="s">
        <v>59</v>
      </c>
      <c r="D558" s="4" t="s">
        <v>99</v>
      </c>
      <c r="E558" s="4" t="n">
        <v>369</v>
      </c>
      <c r="F558" s="4" t="n">
        <v>33.01</v>
      </c>
      <c r="G558" s="4" t="n">
        <v>324</v>
      </c>
      <c r="H558" s="4" t="n">
        <v>31.46</v>
      </c>
      <c r="I558" s="4" t="n">
        <v>1.55</v>
      </c>
    </row>
    <row r="559" customFormat="false" ht="15" hidden="false" customHeight="true" outlineLevel="0" collapsed="false">
      <c r="A559" s="4" t="s">
        <v>138</v>
      </c>
      <c r="B559" s="4" t="n">
        <v>12820108</v>
      </c>
      <c r="C559" s="4" t="s">
        <v>59</v>
      </c>
      <c r="D559" s="4" t="s">
        <v>101</v>
      </c>
      <c r="E559" s="4" t="n">
        <v>42</v>
      </c>
      <c r="F559" s="4" t="n">
        <v>3.76</v>
      </c>
      <c r="G559" s="4" t="n">
        <v>50</v>
      </c>
      <c r="H559" s="4" t="n">
        <v>4.85</v>
      </c>
      <c r="I559" s="4" t="n">
        <v>-1.1</v>
      </c>
    </row>
    <row r="560" customFormat="false" ht="15" hidden="false" customHeight="true" outlineLevel="0" collapsed="false">
      <c r="A560" s="4" t="s">
        <v>138</v>
      </c>
      <c r="B560" s="4" t="n">
        <v>12820108</v>
      </c>
      <c r="C560" s="4" t="s">
        <v>59</v>
      </c>
      <c r="D560" s="4" t="s">
        <v>100</v>
      </c>
      <c r="E560" s="4" t="n">
        <v>188</v>
      </c>
      <c r="F560" s="4" t="n">
        <v>16.82</v>
      </c>
      <c r="G560" s="4" t="n">
        <v>213</v>
      </c>
      <c r="H560" s="4" t="n">
        <v>20.68</v>
      </c>
      <c r="I560" s="4" t="n">
        <v>-3.86</v>
      </c>
    </row>
    <row r="561" customFormat="false" ht="15" hidden="false" customHeight="true" outlineLevel="0" collapsed="false">
      <c r="A561" s="4" t="s">
        <v>138</v>
      </c>
      <c r="B561" s="4" t="n">
        <v>12820108</v>
      </c>
      <c r="C561" s="4" t="s">
        <v>59</v>
      </c>
      <c r="D561" s="4" t="s">
        <v>103</v>
      </c>
      <c r="E561" s="4" t="n">
        <v>91</v>
      </c>
      <c r="F561" s="4" t="n">
        <v>8.14</v>
      </c>
      <c r="G561" s="4" t="n">
        <v>60</v>
      </c>
      <c r="H561" s="4" t="n">
        <v>5.83</v>
      </c>
      <c r="I561" s="4" t="n">
        <v>2.31</v>
      </c>
    </row>
    <row r="562" customFormat="false" ht="15" hidden="false" customHeight="true" outlineLevel="0" collapsed="false">
      <c r="A562" s="4" t="s">
        <v>138</v>
      </c>
      <c r="B562" s="4" t="n">
        <v>12820108</v>
      </c>
      <c r="C562" s="4" t="s">
        <v>59</v>
      </c>
      <c r="D562" s="4" t="s">
        <v>102</v>
      </c>
      <c r="E562" s="4" t="n">
        <v>326</v>
      </c>
      <c r="F562" s="4" t="n">
        <v>29.16</v>
      </c>
      <c r="G562" s="4" t="n">
        <v>279</v>
      </c>
      <c r="H562" s="4" t="n">
        <v>27.09</v>
      </c>
      <c r="I562" s="4" t="n">
        <v>2.07</v>
      </c>
    </row>
    <row r="563" customFormat="false" ht="15" hidden="false" customHeight="true" outlineLevel="0" collapsed="false">
      <c r="A563" s="4" t="s">
        <v>138</v>
      </c>
      <c r="B563" s="4" t="n">
        <v>12820108</v>
      </c>
      <c r="C563" s="4" t="s">
        <v>59</v>
      </c>
      <c r="D563" s="4" t="s">
        <v>105</v>
      </c>
      <c r="E563" s="4" t="n">
        <v>15</v>
      </c>
      <c r="F563" s="4" t="n">
        <v>1.34</v>
      </c>
      <c r="G563" s="4" t="n">
        <v>12</v>
      </c>
      <c r="H563" s="4" t="n">
        <v>1.17</v>
      </c>
      <c r="I563" s="4" t="n">
        <v>0.18</v>
      </c>
    </row>
    <row r="564" customFormat="false" ht="15" hidden="false" customHeight="true" outlineLevel="0" collapsed="false">
      <c r="A564" s="4" t="s">
        <v>138</v>
      </c>
      <c r="B564" s="4" t="n">
        <v>12820108</v>
      </c>
      <c r="C564" s="4" t="s">
        <v>59</v>
      </c>
      <c r="D564" s="4" t="s">
        <v>104</v>
      </c>
      <c r="E564" s="4" t="n">
        <v>16</v>
      </c>
      <c r="F564" s="4" t="n">
        <v>1.43</v>
      </c>
      <c r="G564" s="4" t="n">
        <v>11</v>
      </c>
      <c r="H564" s="4" t="n">
        <v>1.07</v>
      </c>
      <c r="I564" s="4" t="n">
        <v>0.36</v>
      </c>
    </row>
    <row r="565" customFormat="false" ht="15" hidden="false" customHeight="true" outlineLevel="0" collapsed="false">
      <c r="A565" s="4" t="s">
        <v>138</v>
      </c>
      <c r="B565" s="4" t="n">
        <v>12820108</v>
      </c>
      <c r="C565" s="4" t="s">
        <v>59</v>
      </c>
      <c r="D565" s="4" t="s">
        <v>106</v>
      </c>
      <c r="E565" s="4" t="n">
        <v>50</v>
      </c>
      <c r="F565" s="4" t="n">
        <v>4.47</v>
      </c>
      <c r="G565" s="4" t="n">
        <v>52</v>
      </c>
      <c r="H565" s="4" t="n">
        <v>5.05</v>
      </c>
      <c r="I565" s="4" t="n">
        <v>-0.58</v>
      </c>
    </row>
    <row r="566" customFormat="false" ht="15" hidden="false" customHeight="true" outlineLevel="0" collapsed="false">
      <c r="A566" s="4" t="s">
        <v>138</v>
      </c>
      <c r="B566" s="4" t="n">
        <v>12820108</v>
      </c>
      <c r="C566" s="4" t="s">
        <v>59</v>
      </c>
      <c r="D566" s="4" t="s">
        <v>144</v>
      </c>
      <c r="E566" s="4" t="n">
        <v>17</v>
      </c>
      <c r="F566" s="4" t="n">
        <v>1.52</v>
      </c>
      <c r="G566" s="4" t="n">
        <v>0</v>
      </c>
      <c r="H566" s="4" t="n">
        <v>0</v>
      </c>
      <c r="I566" s="4" t="n">
        <v>1.52</v>
      </c>
    </row>
    <row r="567" customFormat="false" ht="15" hidden="false" customHeight="true" outlineLevel="0" collapsed="false">
      <c r="A567" s="4" t="s">
        <v>138</v>
      </c>
      <c r="B567" s="4" t="n">
        <v>12820108</v>
      </c>
      <c r="C567" s="4" t="s">
        <v>59</v>
      </c>
      <c r="D567" s="4" t="s">
        <v>12</v>
      </c>
      <c r="E567" s="4" t="n">
        <v>4</v>
      </c>
      <c r="F567" s="4" t="n">
        <v>0.36</v>
      </c>
      <c r="G567" s="4" t="n">
        <v>29</v>
      </c>
      <c r="H567" s="4" t="n">
        <v>2.82</v>
      </c>
      <c r="I567" s="4" t="n">
        <v>-2.46</v>
      </c>
    </row>
    <row r="568" customFormat="false" ht="15" hidden="false" customHeight="true" outlineLevel="0" collapsed="false">
      <c r="A568" s="4" t="s">
        <v>138</v>
      </c>
      <c r="B568" s="4" t="n">
        <v>12820109</v>
      </c>
      <c r="C568" s="4" t="s">
        <v>61</v>
      </c>
      <c r="D568" s="4" t="s">
        <v>99</v>
      </c>
      <c r="E568" s="4" t="n">
        <v>308</v>
      </c>
      <c r="F568" s="4" t="n">
        <v>27.65</v>
      </c>
      <c r="G568" s="4" t="n">
        <v>298</v>
      </c>
      <c r="H568" s="4" t="n">
        <v>27.19</v>
      </c>
      <c r="I568" s="4" t="n">
        <v>0.46</v>
      </c>
    </row>
    <row r="569" customFormat="false" ht="15" hidden="false" customHeight="true" outlineLevel="0" collapsed="false">
      <c r="A569" s="4" t="s">
        <v>138</v>
      </c>
      <c r="B569" s="4" t="n">
        <v>12820109</v>
      </c>
      <c r="C569" s="4" t="s">
        <v>61</v>
      </c>
      <c r="D569" s="4" t="s">
        <v>101</v>
      </c>
      <c r="E569" s="4" t="n">
        <v>53</v>
      </c>
      <c r="F569" s="4" t="n">
        <v>4.76</v>
      </c>
      <c r="G569" s="4" t="n">
        <v>62</v>
      </c>
      <c r="H569" s="4" t="n">
        <v>5.66</v>
      </c>
      <c r="I569" s="4" t="n">
        <v>-0.9</v>
      </c>
    </row>
    <row r="570" customFormat="false" ht="15" hidden="false" customHeight="true" outlineLevel="0" collapsed="false">
      <c r="A570" s="4" t="s">
        <v>138</v>
      </c>
      <c r="B570" s="4" t="n">
        <v>12820109</v>
      </c>
      <c r="C570" s="4" t="s">
        <v>61</v>
      </c>
      <c r="D570" s="4" t="s">
        <v>100</v>
      </c>
      <c r="E570" s="4" t="n">
        <v>190</v>
      </c>
      <c r="F570" s="4" t="n">
        <v>17.06</v>
      </c>
      <c r="G570" s="4" t="n">
        <v>210</v>
      </c>
      <c r="H570" s="4" t="n">
        <v>19.16</v>
      </c>
      <c r="I570" s="4" t="n">
        <v>-2.1</v>
      </c>
    </row>
    <row r="571" customFormat="false" ht="15" hidden="false" customHeight="true" outlineLevel="0" collapsed="false">
      <c r="A571" s="4" t="s">
        <v>138</v>
      </c>
      <c r="B571" s="4" t="n">
        <v>12820109</v>
      </c>
      <c r="C571" s="4" t="s">
        <v>61</v>
      </c>
      <c r="D571" s="4" t="s">
        <v>103</v>
      </c>
      <c r="E571" s="4" t="n">
        <v>64</v>
      </c>
      <c r="F571" s="4" t="n">
        <v>5.75</v>
      </c>
      <c r="G571" s="4" t="n">
        <v>51</v>
      </c>
      <c r="H571" s="4" t="n">
        <v>4.65</v>
      </c>
      <c r="I571" s="4" t="n">
        <v>1.09</v>
      </c>
    </row>
    <row r="572" customFormat="false" ht="15" hidden="false" customHeight="true" outlineLevel="0" collapsed="false">
      <c r="A572" s="4" t="s">
        <v>138</v>
      </c>
      <c r="B572" s="4" t="n">
        <v>12820109</v>
      </c>
      <c r="C572" s="4" t="s">
        <v>61</v>
      </c>
      <c r="D572" s="4" t="s">
        <v>102</v>
      </c>
      <c r="E572" s="4" t="n">
        <v>423</v>
      </c>
      <c r="F572" s="4" t="n">
        <v>37.97</v>
      </c>
      <c r="G572" s="4" t="n">
        <v>400</v>
      </c>
      <c r="H572" s="4" t="n">
        <v>36.5</v>
      </c>
      <c r="I572" s="4" t="n">
        <v>1.47</v>
      </c>
    </row>
    <row r="573" customFormat="false" ht="15" hidden="false" customHeight="true" outlineLevel="0" collapsed="false">
      <c r="A573" s="4" t="s">
        <v>138</v>
      </c>
      <c r="B573" s="4" t="n">
        <v>12820109</v>
      </c>
      <c r="C573" s="4" t="s">
        <v>61</v>
      </c>
      <c r="D573" s="4" t="s">
        <v>105</v>
      </c>
      <c r="E573" s="4" t="n">
        <v>9</v>
      </c>
      <c r="F573" s="4" t="n">
        <v>0.81</v>
      </c>
      <c r="G573" s="4" t="n">
        <v>13</v>
      </c>
      <c r="H573" s="4" t="n">
        <v>1.19</v>
      </c>
      <c r="I573" s="4" t="n">
        <v>-0.38</v>
      </c>
    </row>
    <row r="574" customFormat="false" ht="15" hidden="false" customHeight="true" outlineLevel="0" collapsed="false">
      <c r="A574" s="4" t="s">
        <v>138</v>
      </c>
      <c r="B574" s="4" t="n">
        <v>12820109</v>
      </c>
      <c r="C574" s="4" t="s">
        <v>61</v>
      </c>
      <c r="D574" s="4" t="s">
        <v>104</v>
      </c>
      <c r="E574" s="4" t="n">
        <v>10</v>
      </c>
      <c r="F574" s="4" t="n">
        <v>0.9</v>
      </c>
      <c r="G574" s="4" t="n">
        <v>11</v>
      </c>
      <c r="H574" s="4" t="n">
        <v>1</v>
      </c>
      <c r="I574" s="4" t="n">
        <v>-0.11</v>
      </c>
    </row>
    <row r="575" customFormat="false" ht="15" hidden="false" customHeight="true" outlineLevel="0" collapsed="false">
      <c r="A575" s="4" t="s">
        <v>138</v>
      </c>
      <c r="B575" s="4" t="n">
        <v>12820109</v>
      </c>
      <c r="C575" s="4" t="s">
        <v>61</v>
      </c>
      <c r="D575" s="4" t="s">
        <v>106</v>
      </c>
      <c r="E575" s="4" t="n">
        <v>42</v>
      </c>
      <c r="F575" s="4" t="n">
        <v>3.77</v>
      </c>
      <c r="G575" s="4" t="n">
        <v>32</v>
      </c>
      <c r="H575" s="4" t="n">
        <v>2.92</v>
      </c>
      <c r="I575" s="4" t="n">
        <v>0.85</v>
      </c>
    </row>
    <row r="576" customFormat="false" ht="15" hidden="false" customHeight="true" outlineLevel="0" collapsed="false">
      <c r="A576" s="4" t="s">
        <v>138</v>
      </c>
      <c r="B576" s="4" t="n">
        <v>12820109</v>
      </c>
      <c r="C576" s="4" t="s">
        <v>61</v>
      </c>
      <c r="D576" s="4" t="s">
        <v>144</v>
      </c>
      <c r="E576" s="4" t="n">
        <v>11</v>
      </c>
      <c r="F576" s="4" t="n">
        <v>0.99</v>
      </c>
      <c r="G576" s="4" t="n">
        <v>0</v>
      </c>
      <c r="H576" s="4" t="n">
        <v>0</v>
      </c>
      <c r="I576" s="4" t="n">
        <v>0.99</v>
      </c>
    </row>
    <row r="577" customFormat="false" ht="15" hidden="false" customHeight="true" outlineLevel="0" collapsed="false">
      <c r="A577" s="4" t="s">
        <v>138</v>
      </c>
      <c r="B577" s="4" t="n">
        <v>12820109</v>
      </c>
      <c r="C577" s="4" t="s">
        <v>61</v>
      </c>
      <c r="D577" s="4" t="s">
        <v>12</v>
      </c>
      <c r="E577" s="4" t="n">
        <v>4</v>
      </c>
      <c r="F577" s="4" t="n">
        <v>0.36</v>
      </c>
      <c r="G577" s="4" t="n">
        <v>19</v>
      </c>
      <c r="H577" s="4" t="n">
        <v>1.73</v>
      </c>
      <c r="I577" s="4" t="n">
        <v>-1.37</v>
      </c>
    </row>
    <row r="578" customFormat="false" ht="15" hidden="false" customHeight="true" outlineLevel="0" collapsed="false">
      <c r="A578" s="4" t="s">
        <v>138</v>
      </c>
      <c r="B578" s="4" t="n">
        <v>12820110</v>
      </c>
      <c r="C578" s="4" t="s">
        <v>63</v>
      </c>
      <c r="D578" s="4" t="s">
        <v>99</v>
      </c>
      <c r="E578" s="4" t="n">
        <v>255</v>
      </c>
      <c r="F578" s="4" t="n">
        <v>32.4</v>
      </c>
      <c r="G578" s="4" t="n">
        <v>270</v>
      </c>
      <c r="H578" s="4" t="n">
        <v>34.53</v>
      </c>
      <c r="I578" s="4" t="n">
        <v>-2.13</v>
      </c>
    </row>
    <row r="579" customFormat="false" ht="15" hidden="false" customHeight="true" outlineLevel="0" collapsed="false">
      <c r="A579" s="4" t="s">
        <v>138</v>
      </c>
      <c r="B579" s="4" t="n">
        <v>12820110</v>
      </c>
      <c r="C579" s="4" t="s">
        <v>63</v>
      </c>
      <c r="D579" s="4" t="s">
        <v>101</v>
      </c>
      <c r="E579" s="4" t="n">
        <v>33</v>
      </c>
      <c r="F579" s="4" t="n">
        <v>4.19</v>
      </c>
      <c r="G579" s="4" t="n">
        <v>25</v>
      </c>
      <c r="H579" s="4" t="n">
        <v>3.2</v>
      </c>
      <c r="I579" s="4" t="n">
        <v>1</v>
      </c>
    </row>
    <row r="580" customFormat="false" ht="15" hidden="false" customHeight="true" outlineLevel="0" collapsed="false">
      <c r="A580" s="4" t="s">
        <v>138</v>
      </c>
      <c r="B580" s="4" t="n">
        <v>12820110</v>
      </c>
      <c r="C580" s="4" t="s">
        <v>63</v>
      </c>
      <c r="D580" s="4" t="s">
        <v>100</v>
      </c>
      <c r="E580" s="4" t="n">
        <v>184</v>
      </c>
      <c r="F580" s="4" t="n">
        <v>23.38</v>
      </c>
      <c r="G580" s="4" t="n">
        <v>231</v>
      </c>
      <c r="H580" s="4" t="n">
        <v>29.54</v>
      </c>
      <c r="I580" s="4" t="n">
        <v>-6.16</v>
      </c>
    </row>
    <row r="581" customFormat="false" ht="15" hidden="false" customHeight="true" outlineLevel="0" collapsed="false">
      <c r="A581" s="4" t="s">
        <v>138</v>
      </c>
      <c r="B581" s="4" t="n">
        <v>12820110</v>
      </c>
      <c r="C581" s="4" t="s">
        <v>63</v>
      </c>
      <c r="D581" s="4" t="s">
        <v>103</v>
      </c>
      <c r="E581" s="4" t="n">
        <v>45</v>
      </c>
      <c r="F581" s="4" t="n">
        <v>5.72</v>
      </c>
      <c r="G581" s="4" t="n">
        <v>33</v>
      </c>
      <c r="H581" s="4" t="n">
        <v>4.22</v>
      </c>
      <c r="I581" s="4" t="n">
        <v>1.5</v>
      </c>
    </row>
    <row r="582" customFormat="false" ht="15" hidden="false" customHeight="true" outlineLevel="0" collapsed="false">
      <c r="A582" s="4" t="s">
        <v>138</v>
      </c>
      <c r="B582" s="4" t="n">
        <v>12820110</v>
      </c>
      <c r="C582" s="4" t="s">
        <v>63</v>
      </c>
      <c r="D582" s="4" t="s">
        <v>102</v>
      </c>
      <c r="E582" s="4" t="n">
        <v>228</v>
      </c>
      <c r="F582" s="4" t="n">
        <v>28.97</v>
      </c>
      <c r="G582" s="4" t="n">
        <v>187</v>
      </c>
      <c r="H582" s="4" t="n">
        <v>23.91</v>
      </c>
      <c r="I582" s="4" t="n">
        <v>5.06</v>
      </c>
    </row>
    <row r="583" customFormat="false" ht="15" hidden="false" customHeight="true" outlineLevel="0" collapsed="false">
      <c r="A583" s="4" t="s">
        <v>138</v>
      </c>
      <c r="B583" s="4" t="n">
        <v>12820110</v>
      </c>
      <c r="C583" s="4" t="s">
        <v>63</v>
      </c>
      <c r="D583" s="4" t="s">
        <v>105</v>
      </c>
      <c r="E583" s="4" t="n">
        <v>2</v>
      </c>
      <c r="F583" s="4" t="n">
        <v>0.25</v>
      </c>
      <c r="G583" s="4" t="n">
        <v>4</v>
      </c>
      <c r="H583" s="4" t="n">
        <v>0.51</v>
      </c>
      <c r="I583" s="4" t="n">
        <v>-0.26</v>
      </c>
    </row>
    <row r="584" customFormat="false" ht="15" hidden="false" customHeight="true" outlineLevel="0" collapsed="false">
      <c r="A584" s="4" t="s">
        <v>138</v>
      </c>
      <c r="B584" s="4" t="n">
        <v>12820110</v>
      </c>
      <c r="C584" s="4" t="s">
        <v>63</v>
      </c>
      <c r="D584" s="4" t="s">
        <v>104</v>
      </c>
      <c r="E584" s="4" t="n">
        <v>5</v>
      </c>
      <c r="F584" s="4" t="n">
        <v>0.64</v>
      </c>
      <c r="G584" s="4" t="n">
        <v>13</v>
      </c>
      <c r="H584" s="4" t="n">
        <v>1.66</v>
      </c>
      <c r="I584" s="4" t="n">
        <v>-1.03</v>
      </c>
    </row>
    <row r="585" customFormat="false" ht="15" hidden="false" customHeight="true" outlineLevel="0" collapsed="false">
      <c r="A585" s="4" t="s">
        <v>138</v>
      </c>
      <c r="B585" s="4" t="n">
        <v>12820110</v>
      </c>
      <c r="C585" s="4" t="s">
        <v>63</v>
      </c>
      <c r="D585" s="4" t="s">
        <v>106</v>
      </c>
      <c r="E585" s="4" t="n">
        <v>25</v>
      </c>
      <c r="F585" s="4" t="n">
        <v>3.18</v>
      </c>
      <c r="G585" s="4" t="n">
        <v>14</v>
      </c>
      <c r="H585" s="4" t="n">
        <v>1.79</v>
      </c>
      <c r="I585" s="4" t="n">
        <v>1.39</v>
      </c>
    </row>
    <row r="586" customFormat="false" ht="15" hidden="false" customHeight="true" outlineLevel="0" collapsed="false">
      <c r="A586" s="4" t="s">
        <v>138</v>
      </c>
      <c r="B586" s="4" t="n">
        <v>12820110</v>
      </c>
      <c r="C586" s="4" t="s">
        <v>63</v>
      </c>
      <c r="D586" s="4" t="s">
        <v>144</v>
      </c>
      <c r="E586" s="4" t="n">
        <v>6</v>
      </c>
      <c r="F586" s="4" t="n">
        <v>0.76</v>
      </c>
      <c r="G586" s="4" t="n">
        <v>0</v>
      </c>
      <c r="H586" s="4" t="n">
        <v>0</v>
      </c>
      <c r="I586" s="4" t="n">
        <v>0.76</v>
      </c>
    </row>
    <row r="587" customFormat="false" ht="15" hidden="false" customHeight="true" outlineLevel="0" collapsed="false">
      <c r="A587" s="4" t="s">
        <v>138</v>
      </c>
      <c r="B587" s="4" t="n">
        <v>12820110</v>
      </c>
      <c r="C587" s="4" t="s">
        <v>63</v>
      </c>
      <c r="D587" s="4" t="s">
        <v>12</v>
      </c>
      <c r="E587" s="4" t="n">
        <v>4</v>
      </c>
      <c r="F587" s="4" t="n">
        <v>0.51</v>
      </c>
      <c r="G587" s="4" t="n">
        <v>5</v>
      </c>
      <c r="H587" s="4" t="n">
        <v>0.64</v>
      </c>
      <c r="I587" s="4" t="n">
        <v>-0.13</v>
      </c>
    </row>
    <row r="588" customFormat="false" ht="15" hidden="false" customHeight="true" outlineLevel="0" collapsed="false">
      <c r="A588" s="4" t="s">
        <v>138</v>
      </c>
      <c r="B588" s="4" t="n">
        <v>12820111</v>
      </c>
      <c r="C588" s="4" t="s">
        <v>65</v>
      </c>
      <c r="D588" s="4" t="s">
        <v>99</v>
      </c>
      <c r="E588" s="4" t="n">
        <v>338</v>
      </c>
      <c r="F588" s="4" t="n">
        <v>37.51</v>
      </c>
      <c r="G588" s="4" t="n">
        <v>307</v>
      </c>
      <c r="H588" s="4" t="n">
        <v>34.46</v>
      </c>
      <c r="I588" s="4" t="n">
        <v>3.06</v>
      </c>
    </row>
    <row r="589" customFormat="false" ht="15" hidden="false" customHeight="true" outlineLevel="0" collapsed="false">
      <c r="A589" s="4" t="s">
        <v>138</v>
      </c>
      <c r="B589" s="4" t="n">
        <v>12820111</v>
      </c>
      <c r="C589" s="4" t="s">
        <v>65</v>
      </c>
      <c r="D589" s="4" t="s">
        <v>101</v>
      </c>
      <c r="E589" s="4" t="n">
        <v>25</v>
      </c>
      <c r="F589" s="4" t="n">
        <v>2.77</v>
      </c>
      <c r="G589" s="4" t="n">
        <v>36</v>
      </c>
      <c r="H589" s="4" t="n">
        <v>4.04</v>
      </c>
      <c r="I589" s="4" t="n">
        <v>-1.27</v>
      </c>
    </row>
    <row r="590" customFormat="false" ht="15" hidden="false" customHeight="true" outlineLevel="0" collapsed="false">
      <c r="A590" s="4" t="s">
        <v>138</v>
      </c>
      <c r="B590" s="4" t="n">
        <v>12820111</v>
      </c>
      <c r="C590" s="4" t="s">
        <v>65</v>
      </c>
      <c r="D590" s="4" t="s">
        <v>100</v>
      </c>
      <c r="E590" s="4" t="n">
        <v>87</v>
      </c>
      <c r="F590" s="4" t="n">
        <v>9.66</v>
      </c>
      <c r="G590" s="4" t="n">
        <v>128</v>
      </c>
      <c r="H590" s="4" t="n">
        <v>14.37</v>
      </c>
      <c r="I590" s="4" t="n">
        <v>-4.71</v>
      </c>
    </row>
    <row r="591" customFormat="false" ht="15" hidden="false" customHeight="true" outlineLevel="0" collapsed="false">
      <c r="A591" s="4" t="s">
        <v>138</v>
      </c>
      <c r="B591" s="4" t="n">
        <v>12820111</v>
      </c>
      <c r="C591" s="4" t="s">
        <v>65</v>
      </c>
      <c r="D591" s="4" t="s">
        <v>103</v>
      </c>
      <c r="E591" s="4" t="n">
        <v>55</v>
      </c>
      <c r="F591" s="4" t="n">
        <v>6.1</v>
      </c>
      <c r="G591" s="4" t="n">
        <v>46</v>
      </c>
      <c r="H591" s="4" t="n">
        <v>5.16</v>
      </c>
      <c r="I591" s="4" t="n">
        <v>0.94</v>
      </c>
    </row>
    <row r="592" customFormat="false" ht="15" hidden="false" customHeight="true" outlineLevel="0" collapsed="false">
      <c r="A592" s="4" t="s">
        <v>138</v>
      </c>
      <c r="B592" s="4" t="n">
        <v>12820111</v>
      </c>
      <c r="C592" s="4" t="s">
        <v>65</v>
      </c>
      <c r="D592" s="4" t="s">
        <v>102</v>
      </c>
      <c r="E592" s="4" t="n">
        <v>343</v>
      </c>
      <c r="F592" s="4" t="n">
        <v>38.07</v>
      </c>
      <c r="G592" s="4" t="n">
        <v>327</v>
      </c>
      <c r="H592" s="4" t="n">
        <v>36.7</v>
      </c>
      <c r="I592" s="4" t="n">
        <v>1.37</v>
      </c>
    </row>
    <row r="593" customFormat="false" ht="15" hidden="false" customHeight="true" outlineLevel="0" collapsed="false">
      <c r="A593" s="4" t="s">
        <v>138</v>
      </c>
      <c r="B593" s="4" t="n">
        <v>12820111</v>
      </c>
      <c r="C593" s="4" t="s">
        <v>65</v>
      </c>
      <c r="D593" s="4" t="s">
        <v>105</v>
      </c>
      <c r="E593" s="4" t="n">
        <v>3</v>
      </c>
      <c r="F593" s="4" t="n">
        <v>0.33</v>
      </c>
      <c r="G593" s="4" t="n">
        <v>9</v>
      </c>
      <c r="H593" s="4" t="n">
        <v>1.01</v>
      </c>
      <c r="I593" s="4" t="n">
        <v>-0.68</v>
      </c>
    </row>
    <row r="594" customFormat="false" ht="15" hidden="false" customHeight="true" outlineLevel="0" collapsed="false">
      <c r="A594" s="4" t="s">
        <v>138</v>
      </c>
      <c r="B594" s="4" t="n">
        <v>12820111</v>
      </c>
      <c r="C594" s="4" t="s">
        <v>65</v>
      </c>
      <c r="D594" s="4" t="s">
        <v>104</v>
      </c>
      <c r="E594" s="4" t="n">
        <v>7</v>
      </c>
      <c r="F594" s="4" t="n">
        <v>0.78</v>
      </c>
      <c r="G594" s="4" t="n">
        <v>8</v>
      </c>
      <c r="H594" s="4" t="n">
        <v>0.9</v>
      </c>
      <c r="I594" s="4" t="n">
        <v>-0.12</v>
      </c>
    </row>
    <row r="595" customFormat="false" ht="15" hidden="false" customHeight="true" outlineLevel="0" collapsed="false">
      <c r="A595" s="4" t="s">
        <v>138</v>
      </c>
      <c r="B595" s="4" t="n">
        <v>12820111</v>
      </c>
      <c r="C595" s="4" t="s">
        <v>65</v>
      </c>
      <c r="D595" s="4" t="s">
        <v>106</v>
      </c>
      <c r="E595" s="4" t="n">
        <v>31</v>
      </c>
      <c r="F595" s="4" t="n">
        <v>3.44</v>
      </c>
      <c r="G595" s="4" t="n">
        <v>25</v>
      </c>
      <c r="H595" s="4" t="n">
        <v>2.81</v>
      </c>
      <c r="I595" s="4" t="n">
        <v>0.63</v>
      </c>
    </row>
    <row r="596" customFormat="false" ht="15" hidden="false" customHeight="true" outlineLevel="0" collapsed="false">
      <c r="A596" s="4" t="s">
        <v>138</v>
      </c>
      <c r="B596" s="4" t="n">
        <v>12820111</v>
      </c>
      <c r="C596" s="4" t="s">
        <v>65</v>
      </c>
      <c r="D596" s="4" t="s">
        <v>144</v>
      </c>
      <c r="E596" s="4" t="n">
        <v>11</v>
      </c>
      <c r="F596" s="4" t="n">
        <v>1.22</v>
      </c>
      <c r="G596" s="4" t="n">
        <v>0</v>
      </c>
      <c r="H596" s="4" t="n">
        <v>0</v>
      </c>
      <c r="I596" s="4" t="n">
        <v>1.22</v>
      </c>
    </row>
    <row r="597" customFormat="false" ht="15" hidden="false" customHeight="true" outlineLevel="0" collapsed="false">
      <c r="A597" s="4" t="s">
        <v>138</v>
      </c>
      <c r="B597" s="4" t="n">
        <v>12820111</v>
      </c>
      <c r="C597" s="4" t="s">
        <v>65</v>
      </c>
      <c r="D597" s="4" t="s">
        <v>12</v>
      </c>
      <c r="E597" s="4" t="n">
        <v>1</v>
      </c>
      <c r="F597" s="4" t="n">
        <v>0.11</v>
      </c>
      <c r="G597" s="4" t="n">
        <v>5</v>
      </c>
      <c r="H597" s="4" t="n">
        <v>0.56</v>
      </c>
      <c r="I597" s="4" t="n">
        <v>-0.45</v>
      </c>
    </row>
    <row r="598" customFormat="false" ht="15" hidden="false" customHeight="true" outlineLevel="0" collapsed="false">
      <c r="A598" s="4" t="s">
        <v>138</v>
      </c>
      <c r="B598" s="4" t="n">
        <v>12820112</v>
      </c>
      <c r="C598" s="4" t="s">
        <v>67</v>
      </c>
      <c r="D598" s="4" t="s">
        <v>99</v>
      </c>
      <c r="E598" s="4" t="n">
        <v>427</v>
      </c>
      <c r="F598" s="4" t="n">
        <v>40.51</v>
      </c>
      <c r="G598" s="4" t="n">
        <v>303</v>
      </c>
      <c r="H598" s="4" t="n">
        <v>37.73</v>
      </c>
      <c r="I598" s="4" t="n">
        <v>2.78</v>
      </c>
    </row>
    <row r="599" customFormat="false" ht="15" hidden="false" customHeight="true" outlineLevel="0" collapsed="false">
      <c r="A599" s="4" t="s">
        <v>138</v>
      </c>
      <c r="B599" s="4" t="n">
        <v>12820112</v>
      </c>
      <c r="C599" s="4" t="s">
        <v>67</v>
      </c>
      <c r="D599" s="4" t="s">
        <v>101</v>
      </c>
      <c r="E599" s="4" t="n">
        <v>27</v>
      </c>
      <c r="F599" s="4" t="n">
        <v>2.56</v>
      </c>
      <c r="G599" s="4" t="n">
        <v>27</v>
      </c>
      <c r="H599" s="4" t="n">
        <v>3.36</v>
      </c>
      <c r="I599" s="4" t="n">
        <v>-0.8</v>
      </c>
    </row>
    <row r="600" customFormat="false" ht="15" hidden="false" customHeight="true" outlineLevel="0" collapsed="false">
      <c r="A600" s="4" t="s">
        <v>138</v>
      </c>
      <c r="B600" s="4" t="n">
        <v>12820112</v>
      </c>
      <c r="C600" s="4" t="s">
        <v>67</v>
      </c>
      <c r="D600" s="4" t="s">
        <v>100</v>
      </c>
      <c r="E600" s="4" t="n">
        <v>120</v>
      </c>
      <c r="F600" s="4" t="n">
        <v>11.39</v>
      </c>
      <c r="G600" s="4" t="n">
        <v>105</v>
      </c>
      <c r="H600" s="4" t="n">
        <v>13.08</v>
      </c>
      <c r="I600" s="4" t="n">
        <v>-1.69</v>
      </c>
    </row>
    <row r="601" customFormat="false" ht="15" hidden="false" customHeight="true" outlineLevel="0" collapsed="false">
      <c r="A601" s="4" t="s">
        <v>138</v>
      </c>
      <c r="B601" s="4" t="n">
        <v>12820112</v>
      </c>
      <c r="C601" s="4" t="s">
        <v>67</v>
      </c>
      <c r="D601" s="4" t="s">
        <v>103</v>
      </c>
      <c r="E601" s="4" t="n">
        <v>213</v>
      </c>
      <c r="F601" s="4" t="n">
        <v>20.21</v>
      </c>
      <c r="G601" s="4" t="n">
        <v>79</v>
      </c>
      <c r="H601" s="4" t="n">
        <v>9.84</v>
      </c>
      <c r="I601" s="4" t="n">
        <v>10.37</v>
      </c>
    </row>
    <row r="602" customFormat="false" ht="15" hidden="false" customHeight="true" outlineLevel="0" collapsed="false">
      <c r="A602" s="4" t="s">
        <v>138</v>
      </c>
      <c r="B602" s="4" t="n">
        <v>12820112</v>
      </c>
      <c r="C602" s="4" t="s">
        <v>67</v>
      </c>
      <c r="D602" s="4" t="s">
        <v>102</v>
      </c>
      <c r="E602" s="4" t="n">
        <v>104</v>
      </c>
      <c r="F602" s="4" t="n">
        <v>9.87</v>
      </c>
      <c r="G602" s="4" t="n">
        <v>71</v>
      </c>
      <c r="H602" s="4" t="n">
        <v>8.84</v>
      </c>
      <c r="I602" s="4" t="n">
        <v>1.03</v>
      </c>
    </row>
    <row r="603" customFormat="false" ht="15" hidden="false" customHeight="true" outlineLevel="0" collapsed="false">
      <c r="A603" s="4" t="s">
        <v>138</v>
      </c>
      <c r="B603" s="4" t="n">
        <v>12820112</v>
      </c>
      <c r="C603" s="4" t="s">
        <v>67</v>
      </c>
      <c r="D603" s="4" t="s">
        <v>105</v>
      </c>
      <c r="E603" s="4" t="n">
        <v>7</v>
      </c>
      <c r="F603" s="4" t="n">
        <v>0.66</v>
      </c>
      <c r="G603" s="4" t="n">
        <v>17</v>
      </c>
      <c r="H603" s="4" t="n">
        <v>2.12</v>
      </c>
      <c r="I603" s="4" t="n">
        <v>-1.45</v>
      </c>
    </row>
    <row r="604" customFormat="false" ht="15" hidden="false" customHeight="true" outlineLevel="0" collapsed="false">
      <c r="A604" s="4" t="s">
        <v>138</v>
      </c>
      <c r="B604" s="4" t="n">
        <v>12820112</v>
      </c>
      <c r="C604" s="4" t="s">
        <v>67</v>
      </c>
      <c r="D604" s="4" t="s">
        <v>104</v>
      </c>
      <c r="E604" s="4" t="n">
        <v>4</v>
      </c>
      <c r="F604" s="4" t="n">
        <v>0.38</v>
      </c>
      <c r="G604" s="4" t="n">
        <v>4</v>
      </c>
      <c r="H604" s="4" t="n">
        <v>0.5</v>
      </c>
      <c r="I604" s="4" t="n">
        <v>-0.12</v>
      </c>
    </row>
    <row r="605" customFormat="false" ht="15" hidden="false" customHeight="true" outlineLevel="0" collapsed="false">
      <c r="A605" s="4" t="s">
        <v>138</v>
      </c>
      <c r="B605" s="4" t="n">
        <v>12820112</v>
      </c>
      <c r="C605" s="4" t="s">
        <v>67</v>
      </c>
      <c r="D605" s="4" t="s">
        <v>106</v>
      </c>
      <c r="E605" s="4" t="n">
        <v>31</v>
      </c>
      <c r="F605" s="4" t="n">
        <v>2.94</v>
      </c>
      <c r="G605" s="4" t="n">
        <v>25</v>
      </c>
      <c r="H605" s="4" t="n">
        <v>3.11</v>
      </c>
      <c r="I605" s="4" t="n">
        <v>-0.17</v>
      </c>
    </row>
    <row r="606" customFormat="false" ht="15" hidden="false" customHeight="true" outlineLevel="0" collapsed="false">
      <c r="A606" s="4" t="s">
        <v>138</v>
      </c>
      <c r="B606" s="4" t="n">
        <v>12820112</v>
      </c>
      <c r="C606" s="4" t="s">
        <v>67</v>
      </c>
      <c r="D606" s="4" t="s">
        <v>144</v>
      </c>
      <c r="E606" s="4" t="n">
        <v>117</v>
      </c>
      <c r="F606" s="4" t="n">
        <v>11.1</v>
      </c>
      <c r="G606" s="4" t="n">
        <v>0</v>
      </c>
      <c r="H606" s="4" t="n">
        <v>0</v>
      </c>
      <c r="I606" s="4" t="n">
        <v>11.1</v>
      </c>
    </row>
    <row r="607" customFormat="false" ht="15" hidden="false" customHeight="true" outlineLevel="0" collapsed="false">
      <c r="A607" s="4" t="s">
        <v>138</v>
      </c>
      <c r="B607" s="4" t="n">
        <v>12820112</v>
      </c>
      <c r="C607" s="4" t="s">
        <v>67</v>
      </c>
      <c r="D607" s="4" t="s">
        <v>12</v>
      </c>
      <c r="E607" s="4" t="n">
        <v>4</v>
      </c>
      <c r="F607" s="4" t="n">
        <v>0.38</v>
      </c>
      <c r="G607" s="4" t="n">
        <v>172</v>
      </c>
      <c r="H607" s="4" t="n">
        <v>21.42</v>
      </c>
      <c r="I607" s="4" t="n">
        <v>-21.04</v>
      </c>
    </row>
    <row r="608" customFormat="false" ht="15" hidden="false" customHeight="true" outlineLevel="0" collapsed="false">
      <c r="A608" s="4" t="s">
        <v>138</v>
      </c>
      <c r="B608" s="4" t="n">
        <v>12820113</v>
      </c>
      <c r="C608" s="4" t="s">
        <v>69</v>
      </c>
      <c r="D608" s="4" t="s">
        <v>99</v>
      </c>
      <c r="E608" s="4" t="n">
        <v>344</v>
      </c>
      <c r="F608" s="4" t="n">
        <v>31.5</v>
      </c>
      <c r="G608" s="4" t="n">
        <v>269</v>
      </c>
      <c r="H608" s="4" t="n">
        <v>28.74</v>
      </c>
      <c r="I608" s="4" t="n">
        <v>2.76</v>
      </c>
    </row>
    <row r="609" customFormat="false" ht="15" hidden="false" customHeight="true" outlineLevel="0" collapsed="false">
      <c r="A609" s="4" t="s">
        <v>138</v>
      </c>
      <c r="B609" s="4" t="n">
        <v>12820113</v>
      </c>
      <c r="C609" s="4" t="s">
        <v>69</v>
      </c>
      <c r="D609" s="4" t="s">
        <v>101</v>
      </c>
      <c r="E609" s="4" t="n">
        <v>37</v>
      </c>
      <c r="F609" s="4" t="n">
        <v>3.39</v>
      </c>
      <c r="G609" s="4" t="n">
        <v>28</v>
      </c>
      <c r="H609" s="4" t="n">
        <v>2.99</v>
      </c>
      <c r="I609" s="4" t="n">
        <v>0.4</v>
      </c>
    </row>
    <row r="610" customFormat="false" ht="15" hidden="false" customHeight="true" outlineLevel="0" collapsed="false">
      <c r="A610" s="4" t="s">
        <v>138</v>
      </c>
      <c r="B610" s="4" t="n">
        <v>12820113</v>
      </c>
      <c r="C610" s="4" t="s">
        <v>69</v>
      </c>
      <c r="D610" s="4" t="s">
        <v>100</v>
      </c>
      <c r="E610" s="4" t="n">
        <v>108</v>
      </c>
      <c r="F610" s="4" t="n">
        <v>9.89</v>
      </c>
      <c r="G610" s="4" t="n">
        <v>153</v>
      </c>
      <c r="H610" s="4" t="n">
        <v>16.35</v>
      </c>
      <c r="I610" s="4" t="n">
        <v>-6.46</v>
      </c>
    </row>
    <row r="611" customFormat="false" ht="15" hidden="false" customHeight="true" outlineLevel="0" collapsed="false">
      <c r="A611" s="4" t="s">
        <v>138</v>
      </c>
      <c r="B611" s="4" t="n">
        <v>12820113</v>
      </c>
      <c r="C611" s="4" t="s">
        <v>69</v>
      </c>
      <c r="D611" s="4" t="s">
        <v>103</v>
      </c>
      <c r="E611" s="4" t="n">
        <v>159</v>
      </c>
      <c r="F611" s="4" t="n">
        <v>14.56</v>
      </c>
      <c r="G611" s="4" t="n">
        <v>87</v>
      </c>
      <c r="H611" s="4" t="n">
        <v>9.29</v>
      </c>
      <c r="I611" s="4" t="n">
        <v>5.27</v>
      </c>
    </row>
    <row r="612" customFormat="false" ht="15" hidden="false" customHeight="true" outlineLevel="0" collapsed="false">
      <c r="A612" s="4" t="s">
        <v>138</v>
      </c>
      <c r="B612" s="4" t="n">
        <v>12820113</v>
      </c>
      <c r="C612" s="4" t="s">
        <v>69</v>
      </c>
      <c r="D612" s="4" t="s">
        <v>102</v>
      </c>
      <c r="E612" s="4" t="n">
        <v>322</v>
      </c>
      <c r="F612" s="4" t="n">
        <v>29.49</v>
      </c>
      <c r="G612" s="4" t="n">
        <v>264</v>
      </c>
      <c r="H612" s="4" t="n">
        <v>28.21</v>
      </c>
      <c r="I612" s="4" t="n">
        <v>1.28</v>
      </c>
    </row>
    <row r="613" customFormat="false" ht="15" hidden="false" customHeight="true" outlineLevel="0" collapsed="false">
      <c r="A613" s="4" t="s">
        <v>138</v>
      </c>
      <c r="B613" s="4" t="n">
        <v>12820113</v>
      </c>
      <c r="C613" s="4" t="s">
        <v>69</v>
      </c>
      <c r="D613" s="4" t="s">
        <v>105</v>
      </c>
      <c r="E613" s="4" t="n">
        <v>7</v>
      </c>
      <c r="F613" s="4" t="n">
        <v>0.64</v>
      </c>
      <c r="G613" s="4" t="n">
        <v>15</v>
      </c>
      <c r="H613" s="4" t="n">
        <v>1.6</v>
      </c>
      <c r="I613" s="4" t="n">
        <v>-0.96</v>
      </c>
    </row>
    <row r="614" customFormat="false" ht="15" hidden="false" customHeight="true" outlineLevel="0" collapsed="false">
      <c r="A614" s="4" t="s">
        <v>138</v>
      </c>
      <c r="B614" s="4" t="n">
        <v>12820113</v>
      </c>
      <c r="C614" s="4" t="s">
        <v>69</v>
      </c>
      <c r="D614" s="4" t="s">
        <v>104</v>
      </c>
      <c r="E614" s="4" t="n">
        <v>4</v>
      </c>
      <c r="F614" s="4" t="n">
        <v>0.37</v>
      </c>
      <c r="G614" s="4" t="n">
        <v>9</v>
      </c>
      <c r="H614" s="4" t="n">
        <v>0.96</v>
      </c>
      <c r="I614" s="4" t="n">
        <v>-0.6</v>
      </c>
    </row>
    <row r="615" customFormat="false" ht="15" hidden="false" customHeight="true" outlineLevel="0" collapsed="false">
      <c r="A615" s="4" t="s">
        <v>138</v>
      </c>
      <c r="B615" s="4" t="n">
        <v>12820113</v>
      </c>
      <c r="C615" s="4" t="s">
        <v>69</v>
      </c>
      <c r="D615" s="4" t="s">
        <v>106</v>
      </c>
      <c r="E615" s="4" t="n">
        <v>51</v>
      </c>
      <c r="F615" s="4" t="n">
        <v>4.67</v>
      </c>
      <c r="G615" s="4" t="n">
        <v>44</v>
      </c>
      <c r="H615" s="4" t="n">
        <v>4.7</v>
      </c>
      <c r="I615" s="4" t="n">
        <v>-0.03</v>
      </c>
    </row>
    <row r="616" customFormat="false" ht="15" hidden="false" customHeight="true" outlineLevel="0" collapsed="false">
      <c r="A616" s="4" t="s">
        <v>138</v>
      </c>
      <c r="B616" s="4" t="n">
        <v>12820113</v>
      </c>
      <c r="C616" s="4" t="s">
        <v>69</v>
      </c>
      <c r="D616" s="4" t="s">
        <v>144</v>
      </c>
      <c r="E616" s="4" t="n">
        <v>57</v>
      </c>
      <c r="F616" s="4" t="n">
        <v>5.22</v>
      </c>
      <c r="G616" s="4" t="n">
        <v>0</v>
      </c>
      <c r="H616" s="4" t="n">
        <v>0</v>
      </c>
      <c r="I616" s="4" t="n">
        <v>5.22</v>
      </c>
    </row>
    <row r="617" customFormat="false" ht="15" hidden="false" customHeight="true" outlineLevel="0" collapsed="false">
      <c r="A617" s="4" t="s">
        <v>138</v>
      </c>
      <c r="B617" s="4" t="n">
        <v>12820113</v>
      </c>
      <c r="C617" s="4" t="s">
        <v>69</v>
      </c>
      <c r="D617" s="4" t="s">
        <v>12</v>
      </c>
      <c r="E617" s="4" t="n">
        <v>3</v>
      </c>
      <c r="F617" s="4" t="n">
        <v>0.27</v>
      </c>
      <c r="G617" s="4" t="n">
        <v>67</v>
      </c>
      <c r="H617" s="4" t="n">
        <v>7.16</v>
      </c>
      <c r="I617" s="4" t="n">
        <v>-6.88</v>
      </c>
    </row>
    <row r="618" customFormat="false" ht="15" hidden="false" customHeight="true" outlineLevel="0" collapsed="false">
      <c r="A618" s="4" t="s">
        <v>138</v>
      </c>
      <c r="B618" s="4" t="n">
        <v>12820114</v>
      </c>
      <c r="C618" s="4" t="s">
        <v>71</v>
      </c>
      <c r="D618" s="4" t="s">
        <v>99</v>
      </c>
      <c r="E618" s="4" t="n">
        <v>415</v>
      </c>
      <c r="F618" s="4" t="n">
        <v>33.44</v>
      </c>
      <c r="G618" s="4" t="n">
        <v>378</v>
      </c>
      <c r="H618" s="4" t="n">
        <v>32.2</v>
      </c>
      <c r="I618" s="4" t="n">
        <v>1.24</v>
      </c>
    </row>
    <row r="619" customFormat="false" ht="15" hidden="false" customHeight="true" outlineLevel="0" collapsed="false">
      <c r="A619" s="4" t="s">
        <v>138</v>
      </c>
      <c r="B619" s="4" t="n">
        <v>12820114</v>
      </c>
      <c r="C619" s="4" t="s">
        <v>71</v>
      </c>
      <c r="D619" s="4" t="s">
        <v>101</v>
      </c>
      <c r="E619" s="4" t="n">
        <v>47</v>
      </c>
      <c r="F619" s="4" t="n">
        <v>3.79</v>
      </c>
      <c r="G619" s="4" t="n">
        <v>43</v>
      </c>
      <c r="H619" s="4" t="n">
        <v>3.66</v>
      </c>
      <c r="I619" s="4" t="n">
        <v>0.12</v>
      </c>
    </row>
    <row r="620" customFormat="false" ht="15" hidden="false" customHeight="true" outlineLevel="0" collapsed="false">
      <c r="A620" s="4" t="s">
        <v>138</v>
      </c>
      <c r="B620" s="4" t="n">
        <v>12820114</v>
      </c>
      <c r="C620" s="4" t="s">
        <v>71</v>
      </c>
      <c r="D620" s="4" t="s">
        <v>100</v>
      </c>
      <c r="E620" s="4" t="n">
        <v>154</v>
      </c>
      <c r="F620" s="4" t="n">
        <v>12.41</v>
      </c>
      <c r="G620" s="4" t="n">
        <v>207</v>
      </c>
      <c r="H620" s="4" t="n">
        <v>17.63</v>
      </c>
      <c r="I620" s="4" t="n">
        <v>-5.22</v>
      </c>
    </row>
    <row r="621" customFormat="false" ht="15" hidden="false" customHeight="true" outlineLevel="0" collapsed="false">
      <c r="A621" s="4" t="s">
        <v>138</v>
      </c>
      <c r="B621" s="4" t="n">
        <v>12820114</v>
      </c>
      <c r="C621" s="4" t="s">
        <v>71</v>
      </c>
      <c r="D621" s="4" t="s">
        <v>103</v>
      </c>
      <c r="E621" s="4" t="n">
        <v>43</v>
      </c>
      <c r="F621" s="4" t="n">
        <v>3.46</v>
      </c>
      <c r="G621" s="4" t="n">
        <v>35</v>
      </c>
      <c r="H621" s="4" t="n">
        <v>2.98</v>
      </c>
      <c r="I621" s="4" t="n">
        <v>0.48</v>
      </c>
    </row>
    <row r="622" customFormat="false" ht="15" hidden="false" customHeight="true" outlineLevel="0" collapsed="false">
      <c r="A622" s="4" t="s">
        <v>138</v>
      </c>
      <c r="B622" s="4" t="n">
        <v>12820114</v>
      </c>
      <c r="C622" s="4" t="s">
        <v>71</v>
      </c>
      <c r="D622" s="4" t="s">
        <v>102</v>
      </c>
      <c r="E622" s="4" t="n">
        <v>526</v>
      </c>
      <c r="F622" s="4" t="n">
        <v>42.39</v>
      </c>
      <c r="G622" s="4" t="n">
        <v>449</v>
      </c>
      <c r="H622" s="4" t="n">
        <v>38.25</v>
      </c>
      <c r="I622" s="4" t="n">
        <v>4.14</v>
      </c>
    </row>
    <row r="623" customFormat="false" ht="15" hidden="false" customHeight="true" outlineLevel="0" collapsed="false">
      <c r="A623" s="4" t="s">
        <v>138</v>
      </c>
      <c r="B623" s="4" t="n">
        <v>12820114</v>
      </c>
      <c r="C623" s="4" t="s">
        <v>71</v>
      </c>
      <c r="D623" s="4" t="s">
        <v>105</v>
      </c>
      <c r="E623" s="4" t="n">
        <v>6</v>
      </c>
      <c r="F623" s="4" t="n">
        <v>0.48</v>
      </c>
      <c r="G623" s="4" t="n">
        <v>14</v>
      </c>
      <c r="H623" s="4" t="n">
        <v>1.19</v>
      </c>
      <c r="I623" s="4" t="n">
        <v>-0.71</v>
      </c>
    </row>
    <row r="624" customFormat="false" ht="15" hidden="false" customHeight="true" outlineLevel="0" collapsed="false">
      <c r="A624" s="4" t="s">
        <v>138</v>
      </c>
      <c r="B624" s="4" t="n">
        <v>12820114</v>
      </c>
      <c r="C624" s="4" t="s">
        <v>71</v>
      </c>
      <c r="D624" s="4" t="s">
        <v>104</v>
      </c>
      <c r="E624" s="4" t="n">
        <v>14</v>
      </c>
      <c r="F624" s="4" t="n">
        <v>1.13</v>
      </c>
      <c r="G624" s="4" t="n">
        <v>15</v>
      </c>
      <c r="H624" s="4" t="n">
        <v>1.28</v>
      </c>
      <c r="I624" s="4" t="n">
        <v>-0.15</v>
      </c>
    </row>
    <row r="625" customFormat="false" ht="15" hidden="false" customHeight="true" outlineLevel="0" collapsed="false">
      <c r="A625" s="4" t="s">
        <v>138</v>
      </c>
      <c r="B625" s="4" t="n">
        <v>12820114</v>
      </c>
      <c r="C625" s="4" t="s">
        <v>71</v>
      </c>
      <c r="D625" s="4" t="s">
        <v>106</v>
      </c>
      <c r="E625" s="4" t="n">
        <v>28</v>
      </c>
      <c r="F625" s="4" t="n">
        <v>2.26</v>
      </c>
      <c r="G625" s="4" t="n">
        <v>24</v>
      </c>
      <c r="H625" s="4" t="n">
        <v>2.04</v>
      </c>
      <c r="I625" s="4" t="n">
        <v>0.21</v>
      </c>
    </row>
    <row r="626" customFormat="false" ht="15" hidden="false" customHeight="true" outlineLevel="0" collapsed="false">
      <c r="A626" s="4" t="s">
        <v>138</v>
      </c>
      <c r="B626" s="4" t="n">
        <v>12820114</v>
      </c>
      <c r="C626" s="4" t="s">
        <v>71</v>
      </c>
      <c r="D626" s="4" t="s">
        <v>144</v>
      </c>
      <c r="E626" s="4" t="n">
        <v>5</v>
      </c>
      <c r="F626" s="4" t="n">
        <v>0.4</v>
      </c>
      <c r="G626" s="4" t="n">
        <v>0</v>
      </c>
      <c r="H626" s="4" t="n">
        <v>0</v>
      </c>
      <c r="I626" s="4" t="n">
        <v>0.4</v>
      </c>
    </row>
    <row r="627" customFormat="false" ht="15" hidden="false" customHeight="true" outlineLevel="0" collapsed="false">
      <c r="A627" s="4" t="s">
        <v>138</v>
      </c>
      <c r="B627" s="4" t="n">
        <v>12820114</v>
      </c>
      <c r="C627" s="4" t="s">
        <v>71</v>
      </c>
      <c r="D627" s="4" t="s">
        <v>12</v>
      </c>
      <c r="E627" s="4" t="n">
        <v>3</v>
      </c>
      <c r="F627" s="4" t="n">
        <v>0.24</v>
      </c>
      <c r="G627" s="4" t="n">
        <v>9</v>
      </c>
      <c r="H627" s="4" t="n">
        <v>0.77</v>
      </c>
      <c r="I627" s="4" t="n">
        <v>-0.52</v>
      </c>
    </row>
    <row r="628" customFormat="false" ht="15" hidden="false" customHeight="true" outlineLevel="0" collapsed="false">
      <c r="A628" s="4" t="s">
        <v>138</v>
      </c>
      <c r="B628" s="4" t="n">
        <v>12820115</v>
      </c>
      <c r="C628" s="4" t="s">
        <v>73</v>
      </c>
      <c r="D628" s="4" t="s">
        <v>99</v>
      </c>
      <c r="E628" s="4" t="n">
        <v>316</v>
      </c>
      <c r="F628" s="4" t="n">
        <v>23.02</v>
      </c>
      <c r="G628" s="4" t="n">
        <v>318</v>
      </c>
      <c r="H628" s="4" t="n">
        <v>22.24</v>
      </c>
      <c r="I628" s="4" t="n">
        <v>0.78</v>
      </c>
    </row>
    <row r="629" customFormat="false" ht="15" hidden="false" customHeight="true" outlineLevel="0" collapsed="false">
      <c r="A629" s="4" t="s">
        <v>138</v>
      </c>
      <c r="B629" s="4" t="n">
        <v>12820115</v>
      </c>
      <c r="C629" s="4" t="s">
        <v>73</v>
      </c>
      <c r="D629" s="4" t="s">
        <v>101</v>
      </c>
      <c r="E629" s="4" t="n">
        <v>52</v>
      </c>
      <c r="F629" s="4" t="n">
        <v>3.79</v>
      </c>
      <c r="G629" s="4" t="n">
        <v>54</v>
      </c>
      <c r="H629" s="4" t="n">
        <v>3.78</v>
      </c>
      <c r="I629" s="4" t="n">
        <v>0.01</v>
      </c>
    </row>
    <row r="630" customFormat="false" ht="15" hidden="false" customHeight="true" outlineLevel="0" collapsed="false">
      <c r="A630" s="4" t="s">
        <v>138</v>
      </c>
      <c r="B630" s="4" t="n">
        <v>12820115</v>
      </c>
      <c r="C630" s="4" t="s">
        <v>73</v>
      </c>
      <c r="D630" s="4" t="s">
        <v>100</v>
      </c>
      <c r="E630" s="4" t="n">
        <v>146</v>
      </c>
      <c r="F630" s="4" t="n">
        <v>10.63</v>
      </c>
      <c r="G630" s="4" t="n">
        <v>208</v>
      </c>
      <c r="H630" s="4" t="n">
        <v>14.55</v>
      </c>
      <c r="I630" s="4" t="n">
        <v>-3.91</v>
      </c>
    </row>
    <row r="631" customFormat="false" ht="15" hidden="false" customHeight="true" outlineLevel="0" collapsed="false">
      <c r="A631" s="4" t="s">
        <v>138</v>
      </c>
      <c r="B631" s="4" t="n">
        <v>12820115</v>
      </c>
      <c r="C631" s="4" t="s">
        <v>73</v>
      </c>
      <c r="D631" s="4" t="s">
        <v>103</v>
      </c>
      <c r="E631" s="4" t="n">
        <v>13</v>
      </c>
      <c r="F631" s="4" t="n">
        <v>0.95</v>
      </c>
      <c r="G631" s="4" t="n">
        <v>19</v>
      </c>
      <c r="H631" s="4" t="n">
        <v>1.33</v>
      </c>
      <c r="I631" s="4" t="n">
        <v>-0.38</v>
      </c>
    </row>
    <row r="632" customFormat="false" ht="15" hidden="false" customHeight="true" outlineLevel="0" collapsed="false">
      <c r="A632" s="4" t="s">
        <v>138</v>
      </c>
      <c r="B632" s="4" t="n">
        <v>12820115</v>
      </c>
      <c r="C632" s="4" t="s">
        <v>73</v>
      </c>
      <c r="D632" s="4" t="s">
        <v>102</v>
      </c>
      <c r="E632" s="4" t="n">
        <v>789</v>
      </c>
      <c r="F632" s="4" t="n">
        <v>57.47</v>
      </c>
      <c r="G632" s="4" t="n">
        <v>781</v>
      </c>
      <c r="H632" s="4" t="n">
        <v>54.62</v>
      </c>
      <c r="I632" s="4" t="n">
        <v>2.85</v>
      </c>
    </row>
    <row r="633" customFormat="false" ht="15" hidden="false" customHeight="true" outlineLevel="0" collapsed="false">
      <c r="A633" s="4" t="s">
        <v>138</v>
      </c>
      <c r="B633" s="4" t="n">
        <v>12820115</v>
      </c>
      <c r="C633" s="4" t="s">
        <v>73</v>
      </c>
      <c r="D633" s="4" t="s">
        <v>105</v>
      </c>
      <c r="E633" s="4" t="n">
        <v>7</v>
      </c>
      <c r="F633" s="4" t="n">
        <v>0.51</v>
      </c>
      <c r="G633" s="4" t="n">
        <v>12</v>
      </c>
      <c r="H633" s="4" t="n">
        <v>0.84</v>
      </c>
      <c r="I633" s="4" t="n">
        <v>-0.33</v>
      </c>
    </row>
    <row r="634" customFormat="false" ht="15" hidden="false" customHeight="true" outlineLevel="0" collapsed="false">
      <c r="A634" s="4" t="s">
        <v>138</v>
      </c>
      <c r="B634" s="4" t="n">
        <v>12820115</v>
      </c>
      <c r="C634" s="4" t="s">
        <v>73</v>
      </c>
      <c r="D634" s="4" t="s">
        <v>104</v>
      </c>
      <c r="E634" s="4" t="n">
        <v>7</v>
      </c>
      <c r="F634" s="4" t="n">
        <v>0.51</v>
      </c>
      <c r="G634" s="4" t="n">
        <v>5</v>
      </c>
      <c r="H634" s="4" t="n">
        <v>0.35</v>
      </c>
      <c r="I634" s="4" t="n">
        <v>0.16</v>
      </c>
    </row>
    <row r="635" customFormat="false" ht="15" hidden="false" customHeight="true" outlineLevel="0" collapsed="false">
      <c r="A635" s="4" t="s">
        <v>138</v>
      </c>
      <c r="B635" s="4" t="n">
        <v>12820115</v>
      </c>
      <c r="C635" s="4" t="s">
        <v>73</v>
      </c>
      <c r="D635" s="4" t="s">
        <v>106</v>
      </c>
      <c r="E635" s="4" t="n">
        <v>35</v>
      </c>
      <c r="F635" s="4" t="n">
        <v>2.55</v>
      </c>
      <c r="G635" s="4" t="n">
        <v>27</v>
      </c>
      <c r="H635" s="4" t="n">
        <v>1.89</v>
      </c>
      <c r="I635" s="4" t="n">
        <v>0.66</v>
      </c>
    </row>
    <row r="636" customFormat="false" ht="15" hidden="false" customHeight="true" outlineLevel="0" collapsed="false">
      <c r="A636" s="4" t="s">
        <v>138</v>
      </c>
      <c r="B636" s="4" t="n">
        <v>12820115</v>
      </c>
      <c r="C636" s="4" t="s">
        <v>73</v>
      </c>
      <c r="D636" s="4" t="s">
        <v>144</v>
      </c>
      <c r="E636" s="4" t="n">
        <v>4</v>
      </c>
      <c r="F636" s="4" t="n">
        <v>0.29</v>
      </c>
      <c r="G636" s="4" t="n">
        <v>0</v>
      </c>
      <c r="H636" s="4" t="n">
        <v>0</v>
      </c>
      <c r="I636" s="4" t="n">
        <v>0.29</v>
      </c>
    </row>
    <row r="637" customFormat="false" ht="15" hidden="false" customHeight="true" outlineLevel="0" collapsed="false">
      <c r="A637" s="4" t="s">
        <v>138</v>
      </c>
      <c r="B637" s="4" t="n">
        <v>12820115</v>
      </c>
      <c r="C637" s="4" t="s">
        <v>73</v>
      </c>
      <c r="D637" s="4" t="s">
        <v>12</v>
      </c>
      <c r="E637" s="4" t="n">
        <v>4</v>
      </c>
      <c r="F637" s="4" t="n">
        <v>0.29</v>
      </c>
      <c r="G637" s="4" t="n">
        <v>6</v>
      </c>
      <c r="H637" s="4" t="n">
        <v>0.42</v>
      </c>
      <c r="I637" s="4" t="n">
        <v>-0.13</v>
      </c>
    </row>
    <row r="638" customFormat="false" ht="15" hidden="false" customHeight="true" outlineLevel="0" collapsed="false">
      <c r="A638" s="4" t="s">
        <v>138</v>
      </c>
      <c r="B638" s="4" t="n">
        <v>12820116</v>
      </c>
      <c r="C638" s="4" t="s">
        <v>75</v>
      </c>
      <c r="D638" s="4" t="s">
        <v>99</v>
      </c>
      <c r="E638" s="4" t="n">
        <v>180</v>
      </c>
      <c r="F638" s="4" t="n">
        <v>11.9</v>
      </c>
      <c r="G638" s="4" t="n">
        <v>192</v>
      </c>
      <c r="H638" s="4" t="n">
        <v>12.51</v>
      </c>
      <c r="I638" s="4" t="n">
        <v>-0.6</v>
      </c>
    </row>
    <row r="639" customFormat="false" ht="15" hidden="false" customHeight="true" outlineLevel="0" collapsed="false">
      <c r="A639" s="4" t="s">
        <v>138</v>
      </c>
      <c r="B639" s="4" t="n">
        <v>12820116</v>
      </c>
      <c r="C639" s="4" t="s">
        <v>75</v>
      </c>
      <c r="D639" s="4" t="s">
        <v>101</v>
      </c>
      <c r="E639" s="4" t="n">
        <v>84</v>
      </c>
      <c r="F639" s="4" t="n">
        <v>5.56</v>
      </c>
      <c r="G639" s="4" t="n">
        <v>89</v>
      </c>
      <c r="H639" s="4" t="n">
        <v>5.8</v>
      </c>
      <c r="I639" s="4" t="n">
        <v>-0.24</v>
      </c>
    </row>
    <row r="640" customFormat="false" ht="15" hidden="false" customHeight="true" outlineLevel="0" collapsed="false">
      <c r="A640" s="4" t="s">
        <v>138</v>
      </c>
      <c r="B640" s="4" t="n">
        <v>12820116</v>
      </c>
      <c r="C640" s="4" t="s">
        <v>75</v>
      </c>
      <c r="D640" s="4" t="s">
        <v>100</v>
      </c>
      <c r="E640" s="4" t="n">
        <v>82</v>
      </c>
      <c r="F640" s="4" t="n">
        <v>5.42</v>
      </c>
      <c r="G640" s="4" t="n">
        <v>155</v>
      </c>
      <c r="H640" s="4" t="n">
        <v>10.1</v>
      </c>
      <c r="I640" s="4" t="n">
        <v>-4.67</v>
      </c>
    </row>
    <row r="641" customFormat="false" ht="15" hidden="false" customHeight="true" outlineLevel="0" collapsed="false">
      <c r="A641" s="4" t="s">
        <v>138</v>
      </c>
      <c r="B641" s="4" t="n">
        <v>12820116</v>
      </c>
      <c r="C641" s="4" t="s">
        <v>75</v>
      </c>
      <c r="D641" s="4" t="s">
        <v>103</v>
      </c>
      <c r="E641" s="4" t="n">
        <v>11</v>
      </c>
      <c r="F641" s="4" t="n">
        <v>0.73</v>
      </c>
      <c r="G641" s="4" t="n">
        <v>16</v>
      </c>
      <c r="H641" s="4" t="n">
        <v>1.04</v>
      </c>
      <c r="I641" s="4" t="n">
        <v>-0.31</v>
      </c>
    </row>
    <row r="642" customFormat="false" ht="15" hidden="false" customHeight="true" outlineLevel="0" collapsed="false">
      <c r="A642" s="4" t="s">
        <v>138</v>
      </c>
      <c r="B642" s="4" t="n">
        <v>12820116</v>
      </c>
      <c r="C642" s="4" t="s">
        <v>75</v>
      </c>
      <c r="D642" s="4" t="s">
        <v>102</v>
      </c>
      <c r="E642" s="4" t="n">
        <v>1081</v>
      </c>
      <c r="F642" s="4" t="n">
        <v>71.49</v>
      </c>
      <c r="G642" s="4" t="n">
        <v>1021</v>
      </c>
      <c r="H642" s="4" t="n">
        <v>66.51</v>
      </c>
      <c r="I642" s="4" t="n">
        <v>4.98</v>
      </c>
    </row>
    <row r="643" customFormat="false" ht="15" hidden="false" customHeight="true" outlineLevel="0" collapsed="false">
      <c r="A643" s="4" t="s">
        <v>138</v>
      </c>
      <c r="B643" s="4" t="n">
        <v>12820116</v>
      </c>
      <c r="C643" s="4" t="s">
        <v>75</v>
      </c>
      <c r="D643" s="4" t="s">
        <v>105</v>
      </c>
      <c r="E643" s="4" t="n">
        <v>16</v>
      </c>
      <c r="F643" s="4" t="n">
        <v>1.06</v>
      </c>
      <c r="G643" s="4" t="n">
        <v>16</v>
      </c>
      <c r="H643" s="4" t="n">
        <v>1.04</v>
      </c>
      <c r="I643" s="4" t="n">
        <v>0.02</v>
      </c>
    </row>
    <row r="644" customFormat="false" ht="15" hidden="false" customHeight="true" outlineLevel="0" collapsed="false">
      <c r="A644" s="4" t="s">
        <v>138</v>
      </c>
      <c r="B644" s="4" t="n">
        <v>12820116</v>
      </c>
      <c r="C644" s="4" t="s">
        <v>75</v>
      </c>
      <c r="D644" s="4" t="s">
        <v>104</v>
      </c>
      <c r="E644" s="4" t="n">
        <v>1</v>
      </c>
      <c r="F644" s="4" t="n">
        <v>0.07</v>
      </c>
      <c r="G644" s="4" t="n">
        <v>5</v>
      </c>
      <c r="H644" s="4" t="n">
        <v>0.33</v>
      </c>
      <c r="I644" s="4" t="n">
        <v>-0.26</v>
      </c>
    </row>
    <row r="645" customFormat="false" ht="15" hidden="false" customHeight="true" outlineLevel="0" collapsed="false">
      <c r="A645" s="4" t="s">
        <v>138</v>
      </c>
      <c r="B645" s="4" t="n">
        <v>12820116</v>
      </c>
      <c r="C645" s="4" t="s">
        <v>75</v>
      </c>
      <c r="D645" s="4" t="s">
        <v>106</v>
      </c>
      <c r="E645" s="4" t="n">
        <v>53</v>
      </c>
      <c r="F645" s="4" t="n">
        <v>3.51</v>
      </c>
      <c r="G645" s="4" t="n">
        <v>36</v>
      </c>
      <c r="H645" s="4" t="n">
        <v>2.35</v>
      </c>
      <c r="I645" s="4" t="n">
        <v>1.16</v>
      </c>
    </row>
    <row r="646" customFormat="false" ht="15" hidden="false" customHeight="true" outlineLevel="0" collapsed="false">
      <c r="A646" s="4" t="s">
        <v>138</v>
      </c>
      <c r="B646" s="4" t="n">
        <v>12820116</v>
      </c>
      <c r="C646" s="4" t="s">
        <v>75</v>
      </c>
      <c r="D646" s="4" t="s">
        <v>144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</row>
    <row r="647" customFormat="false" ht="15" hidden="false" customHeight="true" outlineLevel="0" collapsed="false">
      <c r="A647" s="4" t="s">
        <v>138</v>
      </c>
      <c r="B647" s="4" t="n">
        <v>12820116</v>
      </c>
      <c r="C647" s="4" t="s">
        <v>75</v>
      </c>
      <c r="D647" s="4" t="s">
        <v>12</v>
      </c>
      <c r="E647" s="4" t="n">
        <v>4</v>
      </c>
      <c r="F647" s="4" t="n">
        <v>0.26</v>
      </c>
      <c r="G647" s="4" t="n">
        <v>5</v>
      </c>
      <c r="H647" s="4" t="n">
        <v>0.33</v>
      </c>
      <c r="I647" s="4" t="n">
        <v>-0.06</v>
      </c>
    </row>
    <row r="648" customFormat="false" ht="15" hidden="false" customHeight="true" outlineLevel="0" collapsed="false">
      <c r="A648" s="4" t="s">
        <v>138</v>
      </c>
      <c r="B648" s="4" t="n">
        <v>12820117</v>
      </c>
      <c r="C648" s="4" t="s">
        <v>77</v>
      </c>
      <c r="D648" s="4" t="s">
        <v>99</v>
      </c>
      <c r="E648" s="4" t="n">
        <v>117</v>
      </c>
      <c r="F648" s="4" t="n">
        <v>12.34</v>
      </c>
      <c r="G648" s="4" t="n">
        <v>67</v>
      </c>
      <c r="H648" s="4" t="n">
        <v>9.8</v>
      </c>
      <c r="I648" s="4" t="n">
        <v>2.55</v>
      </c>
    </row>
    <row r="649" customFormat="false" ht="15" hidden="false" customHeight="true" outlineLevel="0" collapsed="false">
      <c r="A649" s="4" t="s">
        <v>138</v>
      </c>
      <c r="B649" s="4" t="n">
        <v>12820117</v>
      </c>
      <c r="C649" s="4" t="s">
        <v>77</v>
      </c>
      <c r="D649" s="4" t="s">
        <v>101</v>
      </c>
      <c r="E649" s="4" t="n">
        <v>45</v>
      </c>
      <c r="F649" s="4" t="n">
        <v>4.75</v>
      </c>
      <c r="G649" s="4" t="n">
        <v>39</v>
      </c>
      <c r="H649" s="4" t="n">
        <v>5.7</v>
      </c>
      <c r="I649" s="4" t="n">
        <v>-0.95</v>
      </c>
    </row>
    <row r="650" customFormat="false" ht="15" hidden="false" customHeight="true" outlineLevel="0" collapsed="false">
      <c r="A650" s="4" t="s">
        <v>138</v>
      </c>
      <c r="B650" s="4" t="n">
        <v>12820117</v>
      </c>
      <c r="C650" s="4" t="s">
        <v>77</v>
      </c>
      <c r="D650" s="4" t="s">
        <v>100</v>
      </c>
      <c r="E650" s="4" t="n">
        <v>35</v>
      </c>
      <c r="F650" s="4" t="n">
        <v>3.69</v>
      </c>
      <c r="G650" s="4" t="n">
        <v>54</v>
      </c>
      <c r="H650" s="4" t="n">
        <v>7.89</v>
      </c>
      <c r="I650" s="4" t="n">
        <v>-4.2</v>
      </c>
    </row>
    <row r="651" customFormat="false" ht="15" hidden="false" customHeight="true" outlineLevel="0" collapsed="false">
      <c r="A651" s="4" t="s">
        <v>138</v>
      </c>
      <c r="B651" s="4" t="n">
        <v>12820117</v>
      </c>
      <c r="C651" s="4" t="s">
        <v>77</v>
      </c>
      <c r="D651" s="4" t="s">
        <v>103</v>
      </c>
      <c r="E651" s="4" t="n">
        <v>8</v>
      </c>
      <c r="F651" s="4" t="n">
        <v>0.84</v>
      </c>
      <c r="G651" s="4" t="n">
        <v>5</v>
      </c>
      <c r="H651" s="4" t="n">
        <v>0.73</v>
      </c>
      <c r="I651" s="4" t="n">
        <v>0.11</v>
      </c>
    </row>
    <row r="652" customFormat="false" ht="15" hidden="false" customHeight="true" outlineLevel="0" collapsed="false">
      <c r="A652" s="4" t="s">
        <v>138</v>
      </c>
      <c r="B652" s="4" t="n">
        <v>12820117</v>
      </c>
      <c r="C652" s="4" t="s">
        <v>77</v>
      </c>
      <c r="D652" s="4" t="s">
        <v>102</v>
      </c>
      <c r="E652" s="4" t="n">
        <v>693</v>
      </c>
      <c r="F652" s="4" t="n">
        <v>73.1</v>
      </c>
      <c r="G652" s="4" t="n">
        <v>480</v>
      </c>
      <c r="H652" s="4" t="n">
        <v>70.18</v>
      </c>
      <c r="I652" s="4" t="n">
        <v>2.93</v>
      </c>
    </row>
    <row r="653" customFormat="false" ht="15" hidden="false" customHeight="true" outlineLevel="0" collapsed="false">
      <c r="A653" s="4" t="s">
        <v>138</v>
      </c>
      <c r="B653" s="4" t="n">
        <v>12820117</v>
      </c>
      <c r="C653" s="4" t="s">
        <v>77</v>
      </c>
      <c r="D653" s="4" t="s">
        <v>105</v>
      </c>
      <c r="E653" s="4" t="n">
        <v>5</v>
      </c>
      <c r="F653" s="4" t="n">
        <v>0.53</v>
      </c>
      <c r="G653" s="4" t="n">
        <v>8</v>
      </c>
      <c r="H653" s="4" t="n">
        <v>1.17</v>
      </c>
      <c r="I653" s="4" t="n">
        <v>-0.64</v>
      </c>
    </row>
    <row r="654" customFormat="false" ht="15" hidden="false" customHeight="true" outlineLevel="0" collapsed="false">
      <c r="A654" s="4" t="s">
        <v>138</v>
      </c>
      <c r="B654" s="4" t="n">
        <v>12820117</v>
      </c>
      <c r="C654" s="4" t="s">
        <v>77</v>
      </c>
      <c r="D654" s="4" t="s">
        <v>104</v>
      </c>
      <c r="E654" s="4" t="n">
        <v>8</v>
      </c>
      <c r="F654" s="4" t="n">
        <v>0.84</v>
      </c>
      <c r="G654" s="4" t="n">
        <v>6</v>
      </c>
      <c r="H654" s="4" t="n">
        <v>0.88</v>
      </c>
      <c r="I654" s="4" t="n">
        <v>-0.03</v>
      </c>
    </row>
    <row r="655" customFormat="false" ht="15" hidden="false" customHeight="true" outlineLevel="0" collapsed="false">
      <c r="A655" s="4" t="s">
        <v>138</v>
      </c>
      <c r="B655" s="4" t="n">
        <v>12820117</v>
      </c>
      <c r="C655" s="4" t="s">
        <v>77</v>
      </c>
      <c r="D655" s="4" t="s">
        <v>106</v>
      </c>
      <c r="E655" s="4" t="n">
        <v>34</v>
      </c>
      <c r="F655" s="4" t="n">
        <v>3.59</v>
      </c>
      <c r="G655" s="4" t="n">
        <v>22</v>
      </c>
      <c r="H655" s="4" t="n">
        <v>3.22</v>
      </c>
      <c r="I655" s="4" t="n">
        <v>0.37</v>
      </c>
    </row>
    <row r="656" customFormat="false" ht="15" hidden="false" customHeight="true" outlineLevel="0" collapsed="false">
      <c r="A656" s="4" t="s">
        <v>138</v>
      </c>
      <c r="B656" s="4" t="n">
        <v>12820117</v>
      </c>
      <c r="C656" s="4" t="s">
        <v>77</v>
      </c>
      <c r="D656" s="4" t="s">
        <v>144</v>
      </c>
      <c r="E656" s="4" t="n">
        <v>3</v>
      </c>
      <c r="F656" s="4" t="n">
        <v>0.32</v>
      </c>
      <c r="G656" s="4" t="n">
        <v>0</v>
      </c>
      <c r="H656" s="4" t="n">
        <v>0</v>
      </c>
      <c r="I656" s="4" t="n">
        <v>0.32</v>
      </c>
    </row>
    <row r="657" customFormat="false" ht="15" hidden="false" customHeight="true" outlineLevel="0" collapsed="false">
      <c r="A657" s="4" t="s">
        <v>138</v>
      </c>
      <c r="B657" s="4" t="n">
        <v>12820117</v>
      </c>
      <c r="C657" s="4" t="s">
        <v>77</v>
      </c>
      <c r="D657" s="4" t="s">
        <v>12</v>
      </c>
      <c r="E657" s="4" t="n">
        <v>0</v>
      </c>
      <c r="F657" s="4" t="n">
        <v>0</v>
      </c>
      <c r="G657" s="4" t="n">
        <v>3</v>
      </c>
      <c r="H657" s="4" t="n">
        <v>0.44</v>
      </c>
      <c r="I657" s="4" t="n">
        <v>-0.44</v>
      </c>
    </row>
    <row r="658" customFormat="false" ht="15" hidden="false" customHeight="true" outlineLevel="0" collapsed="false">
      <c r="A658" s="4" t="s">
        <v>138</v>
      </c>
      <c r="B658" s="4" t="n">
        <v>12820118</v>
      </c>
      <c r="C658" s="4" t="s">
        <v>79</v>
      </c>
      <c r="D658" s="4" t="s">
        <v>99</v>
      </c>
      <c r="E658" s="4" t="n">
        <v>324</v>
      </c>
      <c r="F658" s="4" t="n">
        <v>33.61</v>
      </c>
      <c r="G658" s="4" t="n">
        <v>261</v>
      </c>
      <c r="H658" s="4" t="n">
        <v>29.29</v>
      </c>
      <c r="I658" s="4" t="n">
        <v>4.32</v>
      </c>
    </row>
    <row r="659" customFormat="false" ht="15" hidden="false" customHeight="true" outlineLevel="0" collapsed="false">
      <c r="A659" s="4" t="s">
        <v>138</v>
      </c>
      <c r="B659" s="4" t="n">
        <v>12820118</v>
      </c>
      <c r="C659" s="4" t="s">
        <v>79</v>
      </c>
      <c r="D659" s="4" t="s">
        <v>101</v>
      </c>
      <c r="E659" s="4" t="n">
        <v>30</v>
      </c>
      <c r="F659" s="4" t="n">
        <v>3.11</v>
      </c>
      <c r="G659" s="4" t="n">
        <v>51</v>
      </c>
      <c r="H659" s="4" t="n">
        <v>5.72</v>
      </c>
      <c r="I659" s="4" t="n">
        <v>-2.61</v>
      </c>
    </row>
    <row r="660" customFormat="false" ht="15" hidden="false" customHeight="true" outlineLevel="0" collapsed="false">
      <c r="A660" s="4" t="s">
        <v>138</v>
      </c>
      <c r="B660" s="4" t="n">
        <v>12820118</v>
      </c>
      <c r="C660" s="4" t="s">
        <v>79</v>
      </c>
      <c r="D660" s="4" t="s">
        <v>100</v>
      </c>
      <c r="E660" s="4" t="n">
        <v>131</v>
      </c>
      <c r="F660" s="4" t="n">
        <v>13.59</v>
      </c>
      <c r="G660" s="4" t="n">
        <v>171</v>
      </c>
      <c r="H660" s="4" t="n">
        <v>19.19</v>
      </c>
      <c r="I660" s="4" t="n">
        <v>-5.6</v>
      </c>
    </row>
    <row r="661" customFormat="false" ht="15" hidden="false" customHeight="true" outlineLevel="0" collapsed="false">
      <c r="A661" s="4" t="s">
        <v>138</v>
      </c>
      <c r="B661" s="4" t="n">
        <v>12820118</v>
      </c>
      <c r="C661" s="4" t="s">
        <v>79</v>
      </c>
      <c r="D661" s="4" t="s">
        <v>103</v>
      </c>
      <c r="E661" s="4" t="n">
        <v>185</v>
      </c>
      <c r="F661" s="4" t="n">
        <v>19.19</v>
      </c>
      <c r="G661" s="4" t="n">
        <v>81</v>
      </c>
      <c r="H661" s="4" t="n">
        <v>9.09</v>
      </c>
      <c r="I661" s="4" t="n">
        <v>10.1</v>
      </c>
    </row>
    <row r="662" customFormat="false" ht="15" hidden="false" customHeight="true" outlineLevel="0" collapsed="false">
      <c r="A662" s="4" t="s">
        <v>138</v>
      </c>
      <c r="B662" s="4" t="n">
        <v>12820118</v>
      </c>
      <c r="C662" s="4" t="s">
        <v>79</v>
      </c>
      <c r="D662" s="4" t="s">
        <v>102</v>
      </c>
      <c r="E662" s="4" t="n">
        <v>213</v>
      </c>
      <c r="F662" s="4" t="n">
        <v>22.1</v>
      </c>
      <c r="G662" s="4" t="n">
        <v>188</v>
      </c>
      <c r="H662" s="4" t="n">
        <v>21.1</v>
      </c>
      <c r="I662" s="4" t="n">
        <v>1</v>
      </c>
    </row>
    <row r="663" customFormat="false" ht="15" hidden="false" customHeight="true" outlineLevel="0" collapsed="false">
      <c r="A663" s="4" t="s">
        <v>138</v>
      </c>
      <c r="B663" s="4" t="n">
        <v>12820118</v>
      </c>
      <c r="C663" s="4" t="s">
        <v>79</v>
      </c>
      <c r="D663" s="4" t="s">
        <v>105</v>
      </c>
      <c r="E663" s="4" t="n">
        <v>3</v>
      </c>
      <c r="F663" s="4" t="n">
        <v>0.31</v>
      </c>
      <c r="G663" s="4" t="n">
        <v>17</v>
      </c>
      <c r="H663" s="4" t="n">
        <v>1.91</v>
      </c>
      <c r="I663" s="4" t="n">
        <v>-1.6</v>
      </c>
    </row>
    <row r="664" customFormat="false" ht="15" hidden="false" customHeight="true" outlineLevel="0" collapsed="false">
      <c r="A664" s="4" t="s">
        <v>138</v>
      </c>
      <c r="B664" s="4" t="n">
        <v>12820118</v>
      </c>
      <c r="C664" s="4" t="s">
        <v>79</v>
      </c>
      <c r="D664" s="4" t="s">
        <v>104</v>
      </c>
      <c r="E664" s="4" t="n">
        <v>5</v>
      </c>
      <c r="F664" s="4" t="n">
        <v>0.52</v>
      </c>
      <c r="G664" s="4" t="n">
        <v>11</v>
      </c>
      <c r="H664" s="4" t="n">
        <v>1.23</v>
      </c>
      <c r="I664" s="4" t="n">
        <v>-0.72</v>
      </c>
    </row>
    <row r="665" customFormat="false" ht="15" hidden="false" customHeight="true" outlineLevel="0" collapsed="false">
      <c r="A665" s="4" t="s">
        <v>138</v>
      </c>
      <c r="B665" s="4" t="n">
        <v>12820118</v>
      </c>
      <c r="C665" s="4" t="s">
        <v>79</v>
      </c>
      <c r="D665" s="4" t="s">
        <v>106</v>
      </c>
      <c r="E665" s="4" t="n">
        <v>43</v>
      </c>
      <c r="F665" s="4" t="n">
        <v>4.46</v>
      </c>
      <c r="G665" s="4" t="n">
        <v>37</v>
      </c>
      <c r="H665" s="4" t="n">
        <v>4.15</v>
      </c>
      <c r="I665" s="4" t="n">
        <v>0.31</v>
      </c>
    </row>
    <row r="666" customFormat="false" ht="15" hidden="false" customHeight="true" outlineLevel="0" collapsed="false">
      <c r="A666" s="4" t="s">
        <v>138</v>
      </c>
      <c r="B666" s="4" t="n">
        <v>12820118</v>
      </c>
      <c r="C666" s="4" t="s">
        <v>79</v>
      </c>
      <c r="D666" s="4" t="s">
        <v>144</v>
      </c>
      <c r="E666" s="4" t="n">
        <v>25</v>
      </c>
      <c r="F666" s="4" t="n">
        <v>2.59</v>
      </c>
      <c r="G666" s="4" t="n">
        <v>0</v>
      </c>
      <c r="H666" s="4" t="n">
        <v>0</v>
      </c>
      <c r="I666" s="4" t="n">
        <v>2.59</v>
      </c>
    </row>
    <row r="667" customFormat="false" ht="15" hidden="false" customHeight="true" outlineLevel="0" collapsed="false">
      <c r="A667" s="4" t="s">
        <v>138</v>
      </c>
      <c r="B667" s="4" t="n">
        <v>12820118</v>
      </c>
      <c r="C667" s="4" t="s">
        <v>79</v>
      </c>
      <c r="D667" s="4" t="s">
        <v>12</v>
      </c>
      <c r="E667" s="4" t="n">
        <v>5</v>
      </c>
      <c r="F667" s="4" t="n">
        <v>0.52</v>
      </c>
      <c r="G667" s="4" t="n">
        <v>74</v>
      </c>
      <c r="H667" s="4" t="n">
        <v>8.31</v>
      </c>
      <c r="I667" s="4" t="n">
        <v>-7.79</v>
      </c>
    </row>
    <row r="668" customFormat="false" ht="15" hidden="false" customHeight="true" outlineLevel="0" collapsed="false">
      <c r="A668" s="4" t="s">
        <v>138</v>
      </c>
      <c r="B668" s="4" t="n">
        <v>12820201</v>
      </c>
      <c r="C668" s="4" t="s">
        <v>81</v>
      </c>
      <c r="D668" s="4" t="s">
        <v>99</v>
      </c>
      <c r="E668" s="4" t="n">
        <v>54</v>
      </c>
      <c r="F668" s="4" t="n">
        <v>19.42</v>
      </c>
      <c r="G668" s="4" t="n">
        <v>37</v>
      </c>
      <c r="H668" s="4" t="n">
        <v>12.25</v>
      </c>
      <c r="I668" s="4" t="n">
        <v>7.17</v>
      </c>
    </row>
    <row r="669" customFormat="false" ht="15" hidden="false" customHeight="true" outlineLevel="0" collapsed="false">
      <c r="A669" s="4" t="s">
        <v>138</v>
      </c>
      <c r="B669" s="4" t="n">
        <v>12820201</v>
      </c>
      <c r="C669" s="4" t="s">
        <v>81</v>
      </c>
      <c r="D669" s="4" t="s">
        <v>101</v>
      </c>
      <c r="E669" s="4" t="n">
        <v>41</v>
      </c>
      <c r="F669" s="4" t="n">
        <v>14.75</v>
      </c>
      <c r="G669" s="4" t="n">
        <v>36</v>
      </c>
      <c r="H669" s="4" t="n">
        <v>11.92</v>
      </c>
      <c r="I669" s="4" t="n">
        <v>2.83</v>
      </c>
    </row>
    <row r="670" customFormat="false" ht="15" hidden="false" customHeight="true" outlineLevel="0" collapsed="false">
      <c r="A670" s="4" t="s">
        <v>138</v>
      </c>
      <c r="B670" s="4" t="n">
        <v>12820201</v>
      </c>
      <c r="C670" s="4" t="s">
        <v>81</v>
      </c>
      <c r="D670" s="4" t="s">
        <v>100</v>
      </c>
      <c r="E670" s="4" t="n">
        <v>29</v>
      </c>
      <c r="F670" s="4" t="n">
        <v>10.43</v>
      </c>
      <c r="G670" s="4" t="n">
        <v>64</v>
      </c>
      <c r="H670" s="4" t="n">
        <v>21.19</v>
      </c>
      <c r="I670" s="4" t="n">
        <v>-10.76</v>
      </c>
    </row>
    <row r="671" customFormat="false" ht="15" hidden="false" customHeight="true" outlineLevel="0" collapsed="false">
      <c r="A671" s="4" t="s">
        <v>138</v>
      </c>
      <c r="B671" s="4" t="n">
        <v>12820201</v>
      </c>
      <c r="C671" s="4" t="s">
        <v>81</v>
      </c>
      <c r="D671" s="4" t="s">
        <v>103</v>
      </c>
      <c r="E671" s="4" t="n">
        <v>7</v>
      </c>
      <c r="F671" s="4" t="n">
        <v>2.52</v>
      </c>
      <c r="G671" s="4" t="n">
        <v>16</v>
      </c>
      <c r="H671" s="4" t="n">
        <v>5.3</v>
      </c>
      <c r="I671" s="4" t="n">
        <v>-2.78</v>
      </c>
    </row>
    <row r="672" customFormat="false" ht="15" hidden="false" customHeight="true" outlineLevel="0" collapsed="false">
      <c r="A672" s="4" t="s">
        <v>138</v>
      </c>
      <c r="B672" s="4" t="n">
        <v>12820201</v>
      </c>
      <c r="C672" s="4" t="s">
        <v>81</v>
      </c>
      <c r="D672" s="4" t="s">
        <v>102</v>
      </c>
      <c r="E672" s="4" t="n">
        <v>106</v>
      </c>
      <c r="F672" s="4" t="n">
        <v>38.13</v>
      </c>
      <c r="G672" s="4" t="n">
        <v>99</v>
      </c>
      <c r="H672" s="4" t="n">
        <v>32.78</v>
      </c>
      <c r="I672" s="4" t="n">
        <v>5.35</v>
      </c>
    </row>
    <row r="673" customFormat="false" ht="15" hidden="false" customHeight="true" outlineLevel="0" collapsed="false">
      <c r="A673" s="4" t="s">
        <v>138</v>
      </c>
      <c r="B673" s="4" t="n">
        <v>12820201</v>
      </c>
      <c r="C673" s="4" t="s">
        <v>81</v>
      </c>
      <c r="D673" s="4" t="s">
        <v>105</v>
      </c>
      <c r="E673" s="4" t="n">
        <v>11</v>
      </c>
      <c r="F673" s="4" t="n">
        <v>3.96</v>
      </c>
      <c r="G673" s="4" t="n">
        <v>30</v>
      </c>
      <c r="H673" s="4" t="n">
        <v>9.93</v>
      </c>
      <c r="I673" s="4" t="n">
        <v>-5.98</v>
      </c>
    </row>
    <row r="674" customFormat="false" ht="15" hidden="false" customHeight="true" outlineLevel="0" collapsed="false">
      <c r="A674" s="4" t="s">
        <v>138</v>
      </c>
      <c r="B674" s="4" t="n">
        <v>12820201</v>
      </c>
      <c r="C674" s="4" t="s">
        <v>81</v>
      </c>
      <c r="D674" s="4" t="s">
        <v>104</v>
      </c>
      <c r="E674" s="4" t="n">
        <v>3</v>
      </c>
      <c r="F674" s="4" t="n">
        <v>1.08</v>
      </c>
      <c r="G674" s="4" t="n">
        <v>3</v>
      </c>
      <c r="H674" s="4" t="n">
        <v>0.99</v>
      </c>
      <c r="I674" s="4" t="n">
        <v>0.09</v>
      </c>
    </row>
    <row r="675" customFormat="false" ht="15" hidden="false" customHeight="true" outlineLevel="0" collapsed="false">
      <c r="A675" s="4" t="s">
        <v>138</v>
      </c>
      <c r="B675" s="4" t="n">
        <v>12820201</v>
      </c>
      <c r="C675" s="4" t="s">
        <v>81</v>
      </c>
      <c r="D675" s="4" t="s">
        <v>106</v>
      </c>
      <c r="E675" s="4" t="n">
        <v>26</v>
      </c>
      <c r="F675" s="4" t="n">
        <v>9.35</v>
      </c>
      <c r="G675" s="4" t="n">
        <v>15</v>
      </c>
      <c r="H675" s="4" t="n">
        <v>4.97</v>
      </c>
      <c r="I675" s="4" t="n">
        <v>4.39</v>
      </c>
    </row>
    <row r="676" customFormat="false" ht="15" hidden="false" customHeight="true" outlineLevel="0" collapsed="false">
      <c r="A676" s="4" t="s">
        <v>138</v>
      </c>
      <c r="B676" s="4" t="n">
        <v>12820201</v>
      </c>
      <c r="C676" s="4" t="s">
        <v>81</v>
      </c>
      <c r="D676" s="4" t="s">
        <v>144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</row>
    <row r="677" customFormat="false" ht="15" hidden="false" customHeight="true" outlineLevel="0" collapsed="false">
      <c r="A677" s="4" t="s">
        <v>138</v>
      </c>
      <c r="B677" s="4" t="n">
        <v>12820201</v>
      </c>
      <c r="C677" s="4" t="s">
        <v>81</v>
      </c>
      <c r="D677" s="4" t="s">
        <v>12</v>
      </c>
      <c r="E677" s="4" t="n">
        <v>1</v>
      </c>
      <c r="F677" s="4" t="n">
        <v>0.36</v>
      </c>
      <c r="G677" s="4" t="n">
        <v>2</v>
      </c>
      <c r="H677" s="4" t="n">
        <v>0.66</v>
      </c>
      <c r="I677" s="4" t="n">
        <v>-0.3</v>
      </c>
    </row>
    <row r="678" customFormat="false" ht="15" hidden="false" customHeight="true" outlineLevel="0" collapsed="false">
      <c r="A678" s="4" t="s">
        <v>138</v>
      </c>
      <c r="B678" s="4" t="n">
        <v>12820301</v>
      </c>
      <c r="C678" s="4" t="s">
        <v>83</v>
      </c>
      <c r="D678" s="4" t="s">
        <v>99</v>
      </c>
      <c r="E678" s="4" t="n">
        <v>143</v>
      </c>
      <c r="F678" s="4" t="n">
        <v>13.19</v>
      </c>
      <c r="G678" s="4" t="n">
        <v>142</v>
      </c>
      <c r="H678" s="4" t="n">
        <v>13.2</v>
      </c>
      <c r="I678" s="4" t="n">
        <v>-0.01</v>
      </c>
    </row>
    <row r="679" customFormat="false" ht="15" hidden="false" customHeight="true" outlineLevel="0" collapsed="false">
      <c r="A679" s="4" t="s">
        <v>138</v>
      </c>
      <c r="B679" s="4" t="n">
        <v>12820301</v>
      </c>
      <c r="C679" s="4" t="s">
        <v>83</v>
      </c>
      <c r="D679" s="4" t="s">
        <v>101</v>
      </c>
      <c r="E679" s="4" t="n">
        <v>113</v>
      </c>
      <c r="F679" s="4" t="n">
        <v>10.42</v>
      </c>
      <c r="G679" s="4" t="n">
        <v>115</v>
      </c>
      <c r="H679" s="4" t="n">
        <v>10.69</v>
      </c>
      <c r="I679" s="4" t="n">
        <v>-0.26</v>
      </c>
    </row>
    <row r="680" customFormat="false" ht="15" hidden="false" customHeight="true" outlineLevel="0" collapsed="false">
      <c r="A680" s="4" t="s">
        <v>138</v>
      </c>
      <c r="B680" s="4" t="n">
        <v>12820301</v>
      </c>
      <c r="C680" s="4" t="s">
        <v>83</v>
      </c>
      <c r="D680" s="4" t="s">
        <v>100</v>
      </c>
      <c r="E680" s="4" t="n">
        <v>238</v>
      </c>
      <c r="F680" s="4" t="n">
        <v>21.96</v>
      </c>
      <c r="G680" s="4" t="n">
        <v>317</v>
      </c>
      <c r="H680" s="4" t="n">
        <v>29.46</v>
      </c>
      <c r="I680" s="4" t="n">
        <v>-7.51</v>
      </c>
    </row>
    <row r="681" customFormat="false" ht="15" hidden="false" customHeight="true" outlineLevel="0" collapsed="false">
      <c r="A681" s="4" t="s">
        <v>138</v>
      </c>
      <c r="B681" s="4" t="n">
        <v>12820301</v>
      </c>
      <c r="C681" s="4" t="s">
        <v>83</v>
      </c>
      <c r="D681" s="4" t="s">
        <v>103</v>
      </c>
      <c r="E681" s="4" t="n">
        <v>39</v>
      </c>
      <c r="F681" s="4" t="n">
        <v>3.6</v>
      </c>
      <c r="G681" s="4" t="n">
        <v>31</v>
      </c>
      <c r="H681" s="4" t="n">
        <v>2.88</v>
      </c>
      <c r="I681" s="4" t="n">
        <v>0.72</v>
      </c>
    </row>
    <row r="682" customFormat="false" ht="15" hidden="false" customHeight="true" outlineLevel="0" collapsed="false">
      <c r="A682" s="4" t="s">
        <v>138</v>
      </c>
      <c r="B682" s="4" t="n">
        <v>12820301</v>
      </c>
      <c r="C682" s="4" t="s">
        <v>83</v>
      </c>
      <c r="D682" s="4" t="s">
        <v>102</v>
      </c>
      <c r="E682" s="4" t="n">
        <v>437</v>
      </c>
      <c r="F682" s="4" t="n">
        <v>40.31</v>
      </c>
      <c r="G682" s="4" t="n">
        <v>358</v>
      </c>
      <c r="H682" s="4" t="n">
        <v>33.27</v>
      </c>
      <c r="I682" s="4" t="n">
        <v>7.04</v>
      </c>
    </row>
    <row r="683" customFormat="false" ht="15" hidden="false" customHeight="true" outlineLevel="0" collapsed="false">
      <c r="A683" s="4" t="s">
        <v>138</v>
      </c>
      <c r="B683" s="4" t="n">
        <v>12820301</v>
      </c>
      <c r="C683" s="4" t="s">
        <v>83</v>
      </c>
      <c r="D683" s="4" t="s">
        <v>105</v>
      </c>
      <c r="E683" s="4" t="n">
        <v>33</v>
      </c>
      <c r="F683" s="4" t="n">
        <v>3.04</v>
      </c>
      <c r="G683" s="4" t="n">
        <v>46</v>
      </c>
      <c r="H683" s="4" t="n">
        <v>4.28</v>
      </c>
      <c r="I683" s="4" t="n">
        <v>-1.23</v>
      </c>
    </row>
    <row r="684" customFormat="false" ht="15" hidden="false" customHeight="true" outlineLevel="0" collapsed="false">
      <c r="A684" s="4" t="s">
        <v>138</v>
      </c>
      <c r="B684" s="4" t="n">
        <v>12820301</v>
      </c>
      <c r="C684" s="4" t="s">
        <v>83</v>
      </c>
      <c r="D684" s="4" t="s">
        <v>104</v>
      </c>
      <c r="E684" s="4" t="n">
        <v>23</v>
      </c>
      <c r="F684" s="4" t="n">
        <v>2.12</v>
      </c>
      <c r="G684" s="4" t="n">
        <v>18</v>
      </c>
      <c r="H684" s="4" t="n">
        <v>1.67</v>
      </c>
      <c r="I684" s="4" t="n">
        <v>0.45</v>
      </c>
    </row>
    <row r="685" customFormat="false" ht="15" hidden="false" customHeight="true" outlineLevel="0" collapsed="false">
      <c r="A685" s="4" t="s">
        <v>138</v>
      </c>
      <c r="B685" s="4" t="n">
        <v>12820301</v>
      </c>
      <c r="C685" s="4" t="s">
        <v>83</v>
      </c>
      <c r="D685" s="4" t="s">
        <v>106</v>
      </c>
      <c r="E685" s="4" t="n">
        <v>53</v>
      </c>
      <c r="F685" s="4" t="n">
        <v>4.89</v>
      </c>
      <c r="G685" s="4" t="n">
        <v>46</v>
      </c>
      <c r="H685" s="4" t="n">
        <v>4.28</v>
      </c>
      <c r="I685" s="4" t="n">
        <v>0.61</v>
      </c>
    </row>
    <row r="686" customFormat="false" ht="15" hidden="false" customHeight="true" outlineLevel="0" collapsed="false">
      <c r="A686" s="4" t="s">
        <v>138</v>
      </c>
      <c r="B686" s="4" t="n">
        <v>12820301</v>
      </c>
      <c r="C686" s="4" t="s">
        <v>83</v>
      </c>
      <c r="D686" s="4" t="s">
        <v>144</v>
      </c>
      <c r="E686" s="4" t="n">
        <v>2</v>
      </c>
      <c r="F686" s="4" t="n">
        <v>0.18</v>
      </c>
      <c r="G686" s="4" t="n">
        <v>0</v>
      </c>
      <c r="H686" s="4" t="n">
        <v>0</v>
      </c>
      <c r="I686" s="4" t="n">
        <v>0.18</v>
      </c>
    </row>
    <row r="687" customFormat="false" ht="15" hidden="false" customHeight="true" outlineLevel="0" collapsed="false">
      <c r="A687" s="4" t="s">
        <v>138</v>
      </c>
      <c r="B687" s="4" t="n">
        <v>12820301</v>
      </c>
      <c r="C687" s="4" t="s">
        <v>83</v>
      </c>
      <c r="D687" s="4" t="s">
        <v>12</v>
      </c>
      <c r="E687" s="4" t="n">
        <v>3</v>
      </c>
      <c r="F687" s="4" t="n">
        <v>0.28</v>
      </c>
      <c r="G687" s="4" t="n">
        <v>3</v>
      </c>
      <c r="H687" s="4" t="n">
        <v>0.28</v>
      </c>
      <c r="I687" s="4" t="n">
        <v>0</v>
      </c>
    </row>
    <row r="688" customFormat="false" ht="15" hidden="false" customHeight="true" outlineLevel="0" collapsed="false">
      <c r="A688" s="4" t="s">
        <v>138</v>
      </c>
      <c r="B688" s="4" t="n">
        <v>12820401</v>
      </c>
      <c r="C688" s="4" t="s">
        <v>85</v>
      </c>
      <c r="D688" s="4" t="s">
        <v>99</v>
      </c>
      <c r="E688" s="4" t="n">
        <v>269</v>
      </c>
      <c r="F688" s="4" t="n">
        <v>18.84</v>
      </c>
      <c r="G688" s="4" t="n">
        <v>203</v>
      </c>
      <c r="H688" s="4" t="n">
        <v>14.22</v>
      </c>
      <c r="I688" s="4" t="n">
        <v>4.62</v>
      </c>
    </row>
    <row r="689" customFormat="false" ht="15" hidden="false" customHeight="true" outlineLevel="0" collapsed="false">
      <c r="A689" s="4" t="s">
        <v>138</v>
      </c>
      <c r="B689" s="4" t="n">
        <v>12820401</v>
      </c>
      <c r="C689" s="4" t="s">
        <v>85</v>
      </c>
      <c r="D689" s="4" t="s">
        <v>101</v>
      </c>
      <c r="E689" s="4" t="n">
        <v>148</v>
      </c>
      <c r="F689" s="4" t="n">
        <v>10.36</v>
      </c>
      <c r="G689" s="4" t="n">
        <v>172</v>
      </c>
      <c r="H689" s="4" t="n">
        <v>12.04</v>
      </c>
      <c r="I689" s="4" t="n">
        <v>-1.68</v>
      </c>
    </row>
    <row r="690" customFormat="false" ht="15" hidden="false" customHeight="true" outlineLevel="0" collapsed="false">
      <c r="A690" s="4" t="s">
        <v>138</v>
      </c>
      <c r="B690" s="4" t="n">
        <v>12820401</v>
      </c>
      <c r="C690" s="4" t="s">
        <v>85</v>
      </c>
      <c r="D690" s="4" t="s">
        <v>100</v>
      </c>
      <c r="E690" s="4" t="n">
        <v>277</v>
      </c>
      <c r="F690" s="4" t="n">
        <v>19.4</v>
      </c>
      <c r="G690" s="4" t="n">
        <v>345</v>
      </c>
      <c r="H690" s="4" t="n">
        <v>24.16</v>
      </c>
      <c r="I690" s="4" t="n">
        <v>-4.76</v>
      </c>
    </row>
    <row r="691" customFormat="false" ht="15" hidden="false" customHeight="true" outlineLevel="0" collapsed="false">
      <c r="A691" s="4" t="s">
        <v>138</v>
      </c>
      <c r="B691" s="4" t="n">
        <v>12820401</v>
      </c>
      <c r="C691" s="4" t="s">
        <v>85</v>
      </c>
      <c r="D691" s="4" t="s">
        <v>103</v>
      </c>
      <c r="E691" s="4" t="n">
        <v>34</v>
      </c>
      <c r="F691" s="4" t="n">
        <v>2.38</v>
      </c>
      <c r="G691" s="4" t="n">
        <v>24</v>
      </c>
      <c r="H691" s="4" t="n">
        <v>1.68</v>
      </c>
      <c r="I691" s="4" t="n">
        <v>0.7</v>
      </c>
    </row>
    <row r="692" customFormat="false" ht="15" hidden="false" customHeight="true" outlineLevel="0" collapsed="false">
      <c r="A692" s="4" t="s">
        <v>138</v>
      </c>
      <c r="B692" s="4" t="n">
        <v>12820401</v>
      </c>
      <c r="C692" s="4" t="s">
        <v>85</v>
      </c>
      <c r="D692" s="4" t="s">
        <v>102</v>
      </c>
      <c r="E692" s="4" t="n">
        <v>620</v>
      </c>
      <c r="F692" s="4" t="n">
        <v>43.42</v>
      </c>
      <c r="G692" s="4" t="n">
        <v>602</v>
      </c>
      <c r="H692" s="4" t="n">
        <v>42.16</v>
      </c>
      <c r="I692" s="4" t="n">
        <v>1.26</v>
      </c>
    </row>
    <row r="693" customFormat="false" ht="15" hidden="false" customHeight="true" outlineLevel="0" collapsed="false">
      <c r="A693" s="4" t="s">
        <v>138</v>
      </c>
      <c r="B693" s="4" t="n">
        <v>12820401</v>
      </c>
      <c r="C693" s="4" t="s">
        <v>85</v>
      </c>
      <c r="D693" s="4" t="s">
        <v>105</v>
      </c>
      <c r="E693" s="4" t="n">
        <v>12</v>
      </c>
      <c r="F693" s="4" t="n">
        <v>0.84</v>
      </c>
      <c r="G693" s="4" t="n">
        <v>19</v>
      </c>
      <c r="H693" s="4" t="n">
        <v>1.33</v>
      </c>
      <c r="I693" s="4" t="n">
        <v>-0.49</v>
      </c>
    </row>
    <row r="694" customFormat="false" ht="15" hidden="false" customHeight="true" outlineLevel="0" collapsed="false">
      <c r="A694" s="4" t="s">
        <v>138</v>
      </c>
      <c r="B694" s="4" t="n">
        <v>12820401</v>
      </c>
      <c r="C694" s="4" t="s">
        <v>85</v>
      </c>
      <c r="D694" s="4" t="s">
        <v>104</v>
      </c>
      <c r="E694" s="4" t="n">
        <v>18</v>
      </c>
      <c r="F694" s="4" t="n">
        <v>1.26</v>
      </c>
      <c r="G694" s="4" t="n">
        <v>18</v>
      </c>
      <c r="H694" s="4" t="n">
        <v>1.26</v>
      </c>
      <c r="I694" s="4" t="n">
        <v>0</v>
      </c>
    </row>
    <row r="695" customFormat="false" ht="15" hidden="false" customHeight="true" outlineLevel="0" collapsed="false">
      <c r="A695" s="4" t="s">
        <v>138</v>
      </c>
      <c r="B695" s="4" t="n">
        <v>12820401</v>
      </c>
      <c r="C695" s="4" t="s">
        <v>85</v>
      </c>
      <c r="D695" s="4" t="s">
        <v>106</v>
      </c>
      <c r="E695" s="4" t="n">
        <v>44</v>
      </c>
      <c r="F695" s="4" t="n">
        <v>3.08</v>
      </c>
      <c r="G695" s="4" t="n">
        <v>37</v>
      </c>
      <c r="H695" s="4" t="n">
        <v>2.59</v>
      </c>
      <c r="I695" s="4" t="n">
        <v>0.49</v>
      </c>
    </row>
    <row r="696" customFormat="false" ht="15" hidden="false" customHeight="true" outlineLevel="0" collapsed="false">
      <c r="A696" s="4" t="s">
        <v>138</v>
      </c>
      <c r="B696" s="4" t="n">
        <v>12820401</v>
      </c>
      <c r="C696" s="4" t="s">
        <v>85</v>
      </c>
      <c r="D696" s="4" t="s">
        <v>144</v>
      </c>
      <c r="E696" s="4" t="n">
        <v>3</v>
      </c>
      <c r="F696" s="4" t="n">
        <v>0.21</v>
      </c>
      <c r="G696" s="4" t="n">
        <v>0</v>
      </c>
      <c r="H696" s="4" t="n">
        <v>0</v>
      </c>
      <c r="I696" s="4" t="n">
        <v>0.21</v>
      </c>
    </row>
    <row r="697" customFormat="false" ht="15" hidden="false" customHeight="true" outlineLevel="0" collapsed="false">
      <c r="A697" s="4" t="s">
        <v>138</v>
      </c>
      <c r="B697" s="4" t="n">
        <v>12820401</v>
      </c>
      <c r="C697" s="4" t="s">
        <v>85</v>
      </c>
      <c r="D697" s="4" t="s">
        <v>12</v>
      </c>
      <c r="E697" s="4" t="n">
        <v>3</v>
      </c>
      <c r="F697" s="4" t="n">
        <v>0.21</v>
      </c>
      <c r="G697" s="4" t="n">
        <v>8</v>
      </c>
      <c r="H697" s="4" t="n">
        <v>0.56</v>
      </c>
      <c r="I697" s="4" t="n">
        <v>-0.35</v>
      </c>
    </row>
    <row r="698" customFormat="false" ht="15" hidden="false" customHeight="true" outlineLevel="0" collapsed="false">
      <c r="A698" s="4" t="s">
        <v>138</v>
      </c>
      <c r="B698" s="4" t="n">
        <v>12820402</v>
      </c>
      <c r="C698" s="4" t="s">
        <v>87</v>
      </c>
      <c r="D698" s="4" t="s">
        <v>99</v>
      </c>
      <c r="E698" s="4" t="n">
        <v>264</v>
      </c>
      <c r="F698" s="4" t="n">
        <v>18.88</v>
      </c>
      <c r="G698" s="4" t="n">
        <v>248</v>
      </c>
      <c r="H698" s="4" t="n">
        <v>18.22</v>
      </c>
      <c r="I698" s="4" t="n">
        <v>0.66</v>
      </c>
    </row>
    <row r="699" customFormat="false" ht="15" hidden="false" customHeight="true" outlineLevel="0" collapsed="false">
      <c r="A699" s="4" t="s">
        <v>138</v>
      </c>
      <c r="B699" s="4" t="n">
        <v>12820402</v>
      </c>
      <c r="C699" s="4" t="s">
        <v>87</v>
      </c>
      <c r="D699" s="4" t="s">
        <v>101</v>
      </c>
      <c r="E699" s="4" t="n">
        <v>120</v>
      </c>
      <c r="F699" s="4" t="n">
        <v>8.58</v>
      </c>
      <c r="G699" s="4" t="n">
        <v>161</v>
      </c>
      <c r="H699" s="4" t="n">
        <v>11.83</v>
      </c>
      <c r="I699" s="4" t="n">
        <v>-3.25</v>
      </c>
    </row>
    <row r="700" customFormat="false" ht="15" hidden="false" customHeight="true" outlineLevel="0" collapsed="false">
      <c r="A700" s="4" t="s">
        <v>138</v>
      </c>
      <c r="B700" s="4" t="n">
        <v>12820402</v>
      </c>
      <c r="C700" s="4" t="s">
        <v>87</v>
      </c>
      <c r="D700" s="4" t="s">
        <v>100</v>
      </c>
      <c r="E700" s="4" t="n">
        <v>234</v>
      </c>
      <c r="F700" s="4" t="n">
        <v>16.74</v>
      </c>
      <c r="G700" s="4" t="n">
        <v>269</v>
      </c>
      <c r="H700" s="4" t="n">
        <v>19.76</v>
      </c>
      <c r="I700" s="4" t="n">
        <v>-3.03</v>
      </c>
    </row>
    <row r="701" customFormat="false" ht="15" hidden="false" customHeight="true" outlineLevel="0" collapsed="false">
      <c r="A701" s="4" t="s">
        <v>138</v>
      </c>
      <c r="B701" s="4" t="n">
        <v>12820402</v>
      </c>
      <c r="C701" s="4" t="s">
        <v>87</v>
      </c>
      <c r="D701" s="4" t="s">
        <v>103</v>
      </c>
      <c r="E701" s="4" t="n">
        <v>25</v>
      </c>
      <c r="F701" s="4" t="n">
        <v>1.79</v>
      </c>
      <c r="G701" s="4" t="n">
        <v>20</v>
      </c>
      <c r="H701" s="4" t="n">
        <v>1.47</v>
      </c>
      <c r="I701" s="4" t="n">
        <v>0.32</v>
      </c>
    </row>
    <row r="702" customFormat="false" ht="15" hidden="false" customHeight="true" outlineLevel="0" collapsed="false">
      <c r="A702" s="4" t="s">
        <v>138</v>
      </c>
      <c r="B702" s="4" t="n">
        <v>12820402</v>
      </c>
      <c r="C702" s="4" t="s">
        <v>87</v>
      </c>
      <c r="D702" s="4" t="s">
        <v>102</v>
      </c>
      <c r="E702" s="4" t="n">
        <v>671</v>
      </c>
      <c r="F702" s="4" t="n">
        <v>48</v>
      </c>
      <c r="G702" s="4" t="n">
        <v>583</v>
      </c>
      <c r="H702" s="4" t="n">
        <v>42.84</v>
      </c>
      <c r="I702" s="4" t="n">
        <v>5.16</v>
      </c>
    </row>
    <row r="703" customFormat="false" ht="15" hidden="false" customHeight="true" outlineLevel="0" collapsed="false">
      <c r="A703" s="4" t="s">
        <v>138</v>
      </c>
      <c r="B703" s="4" t="n">
        <v>12820402</v>
      </c>
      <c r="C703" s="4" t="s">
        <v>87</v>
      </c>
      <c r="D703" s="4" t="s">
        <v>105</v>
      </c>
      <c r="E703" s="4" t="n">
        <v>24</v>
      </c>
      <c r="F703" s="4" t="n">
        <v>1.72</v>
      </c>
      <c r="G703" s="4" t="n">
        <v>29</v>
      </c>
      <c r="H703" s="4" t="n">
        <v>2.13</v>
      </c>
      <c r="I703" s="4" t="n">
        <v>-0.41</v>
      </c>
    </row>
    <row r="704" customFormat="false" ht="15" hidden="false" customHeight="true" outlineLevel="0" collapsed="false">
      <c r="A704" s="4" t="s">
        <v>138</v>
      </c>
      <c r="B704" s="4" t="n">
        <v>12820402</v>
      </c>
      <c r="C704" s="4" t="s">
        <v>87</v>
      </c>
      <c r="D704" s="4" t="s">
        <v>104</v>
      </c>
      <c r="E704" s="4" t="n">
        <v>13</v>
      </c>
      <c r="F704" s="4" t="n">
        <v>0.93</v>
      </c>
      <c r="G704" s="4" t="n">
        <v>14</v>
      </c>
      <c r="H704" s="4" t="n">
        <v>1.03</v>
      </c>
      <c r="I704" s="4" t="n">
        <v>-0.1</v>
      </c>
    </row>
    <row r="705" customFormat="false" ht="15" hidden="false" customHeight="true" outlineLevel="0" collapsed="false">
      <c r="A705" s="4" t="s">
        <v>138</v>
      </c>
      <c r="B705" s="4" t="n">
        <v>12820402</v>
      </c>
      <c r="C705" s="4" t="s">
        <v>87</v>
      </c>
      <c r="D705" s="4" t="s">
        <v>106</v>
      </c>
      <c r="E705" s="4" t="n">
        <v>32</v>
      </c>
      <c r="F705" s="4" t="n">
        <v>2.29</v>
      </c>
      <c r="G705" s="4" t="n">
        <v>26</v>
      </c>
      <c r="H705" s="4" t="n">
        <v>1.91</v>
      </c>
      <c r="I705" s="4" t="n">
        <v>0.38</v>
      </c>
    </row>
    <row r="706" customFormat="false" ht="15" hidden="false" customHeight="true" outlineLevel="0" collapsed="false">
      <c r="A706" s="4" t="s">
        <v>138</v>
      </c>
      <c r="B706" s="4" t="n">
        <v>12820402</v>
      </c>
      <c r="C706" s="4" t="s">
        <v>87</v>
      </c>
      <c r="D706" s="4" t="s">
        <v>144</v>
      </c>
      <c r="E706" s="4" t="n">
        <v>7</v>
      </c>
      <c r="F706" s="4" t="n">
        <v>0.5</v>
      </c>
      <c r="G706" s="4" t="n">
        <v>0</v>
      </c>
      <c r="H706" s="4" t="n">
        <v>0</v>
      </c>
      <c r="I706" s="4" t="n">
        <v>0.5</v>
      </c>
    </row>
    <row r="707" customFormat="false" ht="15" hidden="false" customHeight="true" outlineLevel="0" collapsed="false">
      <c r="A707" s="4" t="s">
        <v>138</v>
      </c>
      <c r="B707" s="4" t="n">
        <v>12820402</v>
      </c>
      <c r="C707" s="4" t="s">
        <v>87</v>
      </c>
      <c r="D707" s="4" t="s">
        <v>12</v>
      </c>
      <c r="E707" s="4" t="n">
        <v>8</v>
      </c>
      <c r="F707" s="4" t="n">
        <v>0.57</v>
      </c>
      <c r="G707" s="4" t="n">
        <v>11</v>
      </c>
      <c r="H707" s="4" t="n">
        <v>0.81</v>
      </c>
      <c r="I707" s="4" t="n">
        <v>-0.24</v>
      </c>
    </row>
    <row r="708" customFormat="false" ht="15" hidden="false" customHeight="true" outlineLevel="0" collapsed="false">
      <c r="A708" s="4" t="s">
        <v>138</v>
      </c>
      <c r="B708" s="4" t="n">
        <v>12820501</v>
      </c>
      <c r="C708" s="4" t="s">
        <v>89</v>
      </c>
      <c r="D708" s="4" t="s">
        <v>99</v>
      </c>
      <c r="E708" s="4" t="n">
        <v>242</v>
      </c>
      <c r="F708" s="4" t="n">
        <v>17.25</v>
      </c>
      <c r="G708" s="4" t="n">
        <v>235</v>
      </c>
      <c r="H708" s="4" t="n">
        <v>16.49</v>
      </c>
      <c r="I708" s="4" t="n">
        <v>0.76</v>
      </c>
    </row>
    <row r="709" customFormat="false" ht="15" hidden="false" customHeight="true" outlineLevel="0" collapsed="false">
      <c r="A709" s="4" t="s">
        <v>138</v>
      </c>
      <c r="B709" s="4" t="n">
        <v>12820501</v>
      </c>
      <c r="C709" s="4" t="s">
        <v>89</v>
      </c>
      <c r="D709" s="4" t="s">
        <v>101</v>
      </c>
      <c r="E709" s="4" t="n">
        <v>156</v>
      </c>
      <c r="F709" s="4" t="n">
        <v>11.12</v>
      </c>
      <c r="G709" s="4" t="n">
        <v>169</v>
      </c>
      <c r="H709" s="4" t="n">
        <v>11.86</v>
      </c>
      <c r="I709" s="4" t="n">
        <v>-0.74</v>
      </c>
    </row>
    <row r="710" customFormat="false" ht="15" hidden="false" customHeight="true" outlineLevel="0" collapsed="false">
      <c r="A710" s="4" t="s">
        <v>138</v>
      </c>
      <c r="B710" s="4" t="n">
        <v>12820501</v>
      </c>
      <c r="C710" s="4" t="s">
        <v>89</v>
      </c>
      <c r="D710" s="4" t="s">
        <v>100</v>
      </c>
      <c r="E710" s="4" t="n">
        <v>289</v>
      </c>
      <c r="F710" s="4" t="n">
        <v>20.6</v>
      </c>
      <c r="G710" s="4" t="n">
        <v>363</v>
      </c>
      <c r="H710" s="4" t="n">
        <v>25.47</v>
      </c>
      <c r="I710" s="4" t="n">
        <v>-4.87</v>
      </c>
    </row>
    <row r="711" customFormat="false" ht="15" hidden="false" customHeight="true" outlineLevel="0" collapsed="false">
      <c r="A711" s="4" t="s">
        <v>138</v>
      </c>
      <c r="B711" s="4" t="n">
        <v>12820501</v>
      </c>
      <c r="C711" s="4" t="s">
        <v>89</v>
      </c>
      <c r="D711" s="4" t="s">
        <v>103</v>
      </c>
      <c r="E711" s="4" t="n">
        <v>44</v>
      </c>
      <c r="F711" s="4" t="n">
        <v>3.14</v>
      </c>
      <c r="G711" s="4" t="n">
        <v>32</v>
      </c>
      <c r="H711" s="4" t="n">
        <v>2.25</v>
      </c>
      <c r="I711" s="4" t="n">
        <v>0.89</v>
      </c>
    </row>
    <row r="712" customFormat="false" ht="15" hidden="false" customHeight="true" outlineLevel="0" collapsed="false">
      <c r="A712" s="4" t="s">
        <v>138</v>
      </c>
      <c r="B712" s="4" t="n">
        <v>12820501</v>
      </c>
      <c r="C712" s="4" t="s">
        <v>89</v>
      </c>
      <c r="D712" s="4" t="s">
        <v>102</v>
      </c>
      <c r="E712" s="4" t="n">
        <v>564</v>
      </c>
      <c r="F712" s="4" t="n">
        <v>40.2</v>
      </c>
      <c r="G712" s="4" t="n">
        <v>520</v>
      </c>
      <c r="H712" s="4" t="n">
        <v>36.49</v>
      </c>
      <c r="I712" s="4" t="n">
        <v>3.71</v>
      </c>
    </row>
    <row r="713" customFormat="false" ht="15" hidden="false" customHeight="true" outlineLevel="0" collapsed="false">
      <c r="A713" s="4" t="s">
        <v>138</v>
      </c>
      <c r="B713" s="4" t="n">
        <v>12820501</v>
      </c>
      <c r="C713" s="4" t="s">
        <v>89</v>
      </c>
      <c r="D713" s="4" t="s">
        <v>105</v>
      </c>
      <c r="E713" s="4" t="n">
        <v>22</v>
      </c>
      <c r="F713" s="4" t="n">
        <v>1.57</v>
      </c>
      <c r="G713" s="4" t="n">
        <v>31</v>
      </c>
      <c r="H713" s="4" t="n">
        <v>2.18</v>
      </c>
      <c r="I713" s="4" t="n">
        <v>-0.61</v>
      </c>
    </row>
    <row r="714" customFormat="false" ht="15" hidden="false" customHeight="true" outlineLevel="0" collapsed="false">
      <c r="A714" s="4" t="s">
        <v>138</v>
      </c>
      <c r="B714" s="4" t="n">
        <v>12820501</v>
      </c>
      <c r="C714" s="4" t="s">
        <v>89</v>
      </c>
      <c r="D714" s="4" t="s">
        <v>104</v>
      </c>
      <c r="E714" s="4" t="n">
        <v>29</v>
      </c>
      <c r="F714" s="4" t="n">
        <v>2.07</v>
      </c>
      <c r="G714" s="4" t="n">
        <v>22</v>
      </c>
      <c r="H714" s="4" t="n">
        <v>1.54</v>
      </c>
      <c r="I714" s="4" t="n">
        <v>0.52</v>
      </c>
    </row>
    <row r="715" customFormat="false" ht="15" hidden="false" customHeight="true" outlineLevel="0" collapsed="false">
      <c r="A715" s="4" t="s">
        <v>138</v>
      </c>
      <c r="B715" s="4" t="n">
        <v>12820501</v>
      </c>
      <c r="C715" s="4" t="s">
        <v>89</v>
      </c>
      <c r="D715" s="4" t="s">
        <v>106</v>
      </c>
      <c r="E715" s="4" t="n">
        <v>45</v>
      </c>
      <c r="F715" s="4" t="n">
        <v>3.21</v>
      </c>
      <c r="G715" s="4" t="n">
        <v>41</v>
      </c>
      <c r="H715" s="4" t="n">
        <v>2.88</v>
      </c>
      <c r="I715" s="4" t="n">
        <v>0.33</v>
      </c>
    </row>
    <row r="716" customFormat="false" ht="15" hidden="false" customHeight="true" outlineLevel="0" collapsed="false">
      <c r="A716" s="4" t="s">
        <v>138</v>
      </c>
      <c r="B716" s="4" t="n">
        <v>12820501</v>
      </c>
      <c r="C716" s="4" t="s">
        <v>89</v>
      </c>
      <c r="D716" s="4" t="s">
        <v>144</v>
      </c>
      <c r="E716" s="4" t="n">
        <v>7</v>
      </c>
      <c r="F716" s="4" t="n">
        <v>0.5</v>
      </c>
      <c r="G716" s="4" t="n">
        <v>0</v>
      </c>
      <c r="H716" s="4" t="n">
        <v>0</v>
      </c>
      <c r="I716" s="4" t="n">
        <v>0.5</v>
      </c>
    </row>
    <row r="717" customFormat="false" ht="15" hidden="false" customHeight="true" outlineLevel="0" collapsed="false">
      <c r="A717" s="4" t="s">
        <v>138</v>
      </c>
      <c r="B717" s="4" t="n">
        <v>12820501</v>
      </c>
      <c r="C717" s="4" t="s">
        <v>89</v>
      </c>
      <c r="D717" s="4" t="s">
        <v>12</v>
      </c>
      <c r="E717" s="4" t="n">
        <v>5</v>
      </c>
      <c r="F717" s="4" t="n">
        <v>0.36</v>
      </c>
      <c r="G717" s="4" t="n">
        <v>12</v>
      </c>
      <c r="H717" s="4" t="n">
        <v>0.84</v>
      </c>
      <c r="I717" s="4" t="n">
        <v>-0.49</v>
      </c>
    </row>
    <row r="718" customFormat="false" ht="15" hidden="false" customHeight="true" outlineLevel="0" collapsed="false">
      <c r="A718" s="4" t="s">
        <v>138</v>
      </c>
      <c r="B718" s="4" t="n">
        <v>12820801</v>
      </c>
      <c r="C718" s="4" t="s">
        <v>91</v>
      </c>
      <c r="D718" s="4" t="s">
        <v>99</v>
      </c>
      <c r="E718" s="4" t="n">
        <v>160</v>
      </c>
      <c r="F718" s="4" t="n">
        <v>19.88</v>
      </c>
      <c r="G718" s="4" t="n">
        <v>161</v>
      </c>
      <c r="H718" s="4" t="n">
        <v>20.07</v>
      </c>
      <c r="I718" s="4" t="n">
        <v>-0.2</v>
      </c>
    </row>
    <row r="719" customFormat="false" ht="15" hidden="false" customHeight="true" outlineLevel="0" collapsed="false">
      <c r="A719" s="4" t="s">
        <v>138</v>
      </c>
      <c r="B719" s="4" t="n">
        <v>12820801</v>
      </c>
      <c r="C719" s="4" t="s">
        <v>91</v>
      </c>
      <c r="D719" s="4" t="s">
        <v>101</v>
      </c>
      <c r="E719" s="4" t="n">
        <v>64</v>
      </c>
      <c r="F719" s="4" t="n">
        <v>7.95</v>
      </c>
      <c r="G719" s="4" t="n">
        <v>59</v>
      </c>
      <c r="H719" s="4" t="n">
        <v>7.36</v>
      </c>
      <c r="I719" s="4" t="n">
        <v>0.59</v>
      </c>
    </row>
    <row r="720" customFormat="false" ht="15" hidden="false" customHeight="true" outlineLevel="0" collapsed="false">
      <c r="A720" s="4" t="s">
        <v>138</v>
      </c>
      <c r="B720" s="4" t="n">
        <v>12820801</v>
      </c>
      <c r="C720" s="4" t="s">
        <v>91</v>
      </c>
      <c r="D720" s="4" t="s">
        <v>100</v>
      </c>
      <c r="E720" s="4" t="n">
        <v>165</v>
      </c>
      <c r="F720" s="4" t="n">
        <v>20.5</v>
      </c>
      <c r="G720" s="4" t="n">
        <v>204</v>
      </c>
      <c r="H720" s="4" t="n">
        <v>25.44</v>
      </c>
      <c r="I720" s="4" t="n">
        <v>-4.94</v>
      </c>
    </row>
    <row r="721" customFormat="false" ht="15" hidden="false" customHeight="true" outlineLevel="0" collapsed="false">
      <c r="A721" s="4" t="s">
        <v>138</v>
      </c>
      <c r="B721" s="4" t="n">
        <v>12820801</v>
      </c>
      <c r="C721" s="4" t="s">
        <v>91</v>
      </c>
      <c r="D721" s="4" t="s">
        <v>103</v>
      </c>
      <c r="E721" s="4" t="n">
        <v>34</v>
      </c>
      <c r="F721" s="4" t="n">
        <v>4.22</v>
      </c>
      <c r="G721" s="4" t="n">
        <v>20</v>
      </c>
      <c r="H721" s="4" t="n">
        <v>2.49</v>
      </c>
      <c r="I721" s="4" t="n">
        <v>1.73</v>
      </c>
    </row>
    <row r="722" customFormat="false" ht="15" hidden="false" customHeight="true" outlineLevel="0" collapsed="false">
      <c r="A722" s="4" t="s">
        <v>138</v>
      </c>
      <c r="B722" s="4" t="n">
        <v>12820801</v>
      </c>
      <c r="C722" s="4" t="s">
        <v>91</v>
      </c>
      <c r="D722" s="4" t="s">
        <v>102</v>
      </c>
      <c r="E722" s="4" t="n">
        <v>307</v>
      </c>
      <c r="F722" s="4" t="n">
        <v>38.14</v>
      </c>
      <c r="G722" s="4" t="n">
        <v>286</v>
      </c>
      <c r="H722" s="4" t="n">
        <v>35.66</v>
      </c>
      <c r="I722" s="4" t="n">
        <v>2.48</v>
      </c>
    </row>
    <row r="723" customFormat="false" ht="15" hidden="false" customHeight="true" outlineLevel="0" collapsed="false">
      <c r="A723" s="4" t="s">
        <v>138</v>
      </c>
      <c r="B723" s="4" t="n">
        <v>12820801</v>
      </c>
      <c r="C723" s="4" t="s">
        <v>91</v>
      </c>
      <c r="D723" s="4" t="s">
        <v>105</v>
      </c>
      <c r="E723" s="4" t="n">
        <v>24</v>
      </c>
      <c r="F723" s="4" t="n">
        <v>2.98</v>
      </c>
      <c r="G723" s="4" t="n">
        <v>26</v>
      </c>
      <c r="H723" s="4" t="n">
        <v>3.24</v>
      </c>
      <c r="I723" s="4" t="n">
        <v>-0.26</v>
      </c>
    </row>
    <row r="724" customFormat="false" ht="15" hidden="false" customHeight="true" outlineLevel="0" collapsed="false">
      <c r="A724" s="4" t="s">
        <v>138</v>
      </c>
      <c r="B724" s="4" t="n">
        <v>12820801</v>
      </c>
      <c r="C724" s="4" t="s">
        <v>91</v>
      </c>
      <c r="D724" s="4" t="s">
        <v>104</v>
      </c>
      <c r="E724" s="4" t="n">
        <v>7</v>
      </c>
      <c r="F724" s="4" t="n">
        <v>0.87</v>
      </c>
      <c r="G724" s="4" t="n">
        <v>15</v>
      </c>
      <c r="H724" s="4" t="n">
        <v>1.87</v>
      </c>
      <c r="I724" s="4" t="n">
        <v>-1</v>
      </c>
    </row>
    <row r="725" customFormat="false" ht="15" hidden="false" customHeight="true" outlineLevel="0" collapsed="false">
      <c r="A725" s="4" t="s">
        <v>138</v>
      </c>
      <c r="B725" s="4" t="n">
        <v>12820801</v>
      </c>
      <c r="C725" s="4" t="s">
        <v>91</v>
      </c>
      <c r="D725" s="4" t="s">
        <v>106</v>
      </c>
      <c r="E725" s="4" t="n">
        <v>20</v>
      </c>
      <c r="F725" s="4" t="n">
        <v>2.48</v>
      </c>
      <c r="G725" s="4" t="n">
        <v>24</v>
      </c>
      <c r="H725" s="4" t="n">
        <v>2.99</v>
      </c>
      <c r="I725" s="4" t="n">
        <v>-0.51</v>
      </c>
    </row>
    <row r="726" customFormat="false" ht="15" hidden="false" customHeight="true" outlineLevel="0" collapsed="false">
      <c r="A726" s="4" t="s">
        <v>138</v>
      </c>
      <c r="B726" s="4" t="n">
        <v>12820801</v>
      </c>
      <c r="C726" s="4" t="s">
        <v>91</v>
      </c>
      <c r="D726" s="4" t="s">
        <v>144</v>
      </c>
      <c r="E726" s="4" t="n">
        <v>18</v>
      </c>
      <c r="F726" s="4" t="n">
        <v>2.24</v>
      </c>
      <c r="G726" s="4" t="n">
        <v>0</v>
      </c>
      <c r="H726" s="4" t="n">
        <v>0</v>
      </c>
      <c r="I726" s="4" t="n">
        <v>2.24</v>
      </c>
    </row>
    <row r="727" customFormat="false" ht="15" hidden="false" customHeight="true" outlineLevel="0" collapsed="false">
      <c r="A727" s="4" t="s">
        <v>138</v>
      </c>
      <c r="B727" s="4" t="n">
        <v>12820801</v>
      </c>
      <c r="C727" s="4" t="s">
        <v>91</v>
      </c>
      <c r="D727" s="4" t="s">
        <v>12</v>
      </c>
      <c r="E727" s="4" t="n">
        <v>6</v>
      </c>
      <c r="F727" s="4" t="n">
        <v>0.75</v>
      </c>
      <c r="G727" s="4" t="n">
        <v>7</v>
      </c>
      <c r="H727" s="4" t="n">
        <v>0.87</v>
      </c>
      <c r="I727" s="4" t="n">
        <v>-0.13</v>
      </c>
    </row>
    <row r="728" customFormat="false" ht="15" hidden="false" customHeight="true" outlineLevel="0" collapsed="false">
      <c r="A728" s="4" t="s">
        <v>138</v>
      </c>
      <c r="B728" s="4" t="n">
        <v>12820802</v>
      </c>
      <c r="C728" s="4" t="s">
        <v>93</v>
      </c>
      <c r="D728" s="4" t="s">
        <v>99</v>
      </c>
      <c r="E728" s="4" t="n">
        <v>164</v>
      </c>
      <c r="F728" s="4" t="n">
        <v>15.05</v>
      </c>
      <c r="G728" s="4" t="n">
        <v>163</v>
      </c>
      <c r="H728" s="4" t="n">
        <v>15.38</v>
      </c>
      <c r="I728" s="4" t="n">
        <v>-0.33</v>
      </c>
    </row>
    <row r="729" customFormat="false" ht="15" hidden="false" customHeight="true" outlineLevel="0" collapsed="false">
      <c r="A729" s="4" t="s">
        <v>138</v>
      </c>
      <c r="B729" s="4" t="n">
        <v>12820802</v>
      </c>
      <c r="C729" s="4" t="s">
        <v>93</v>
      </c>
      <c r="D729" s="4" t="s">
        <v>101</v>
      </c>
      <c r="E729" s="4" t="n">
        <v>137</v>
      </c>
      <c r="F729" s="4" t="n">
        <v>12.57</v>
      </c>
      <c r="G729" s="4" t="n">
        <v>134</v>
      </c>
      <c r="H729" s="4" t="n">
        <v>12.64</v>
      </c>
      <c r="I729" s="4" t="n">
        <v>-0.07</v>
      </c>
    </row>
    <row r="730" customFormat="false" ht="15" hidden="false" customHeight="true" outlineLevel="0" collapsed="false">
      <c r="A730" s="4" t="s">
        <v>138</v>
      </c>
      <c r="B730" s="4" t="n">
        <v>12820802</v>
      </c>
      <c r="C730" s="4" t="s">
        <v>93</v>
      </c>
      <c r="D730" s="4" t="s">
        <v>100</v>
      </c>
      <c r="E730" s="4" t="n">
        <v>129</v>
      </c>
      <c r="F730" s="4" t="n">
        <v>11.83</v>
      </c>
      <c r="G730" s="4" t="n">
        <v>144</v>
      </c>
      <c r="H730" s="4" t="n">
        <v>13.58</v>
      </c>
      <c r="I730" s="4" t="n">
        <v>-1.75</v>
      </c>
    </row>
    <row r="731" customFormat="false" ht="15" hidden="false" customHeight="true" outlineLevel="0" collapsed="false">
      <c r="A731" s="4" t="s">
        <v>138</v>
      </c>
      <c r="B731" s="4" t="n">
        <v>12820802</v>
      </c>
      <c r="C731" s="4" t="s">
        <v>93</v>
      </c>
      <c r="D731" s="4" t="s">
        <v>103</v>
      </c>
      <c r="E731" s="4" t="n">
        <v>12</v>
      </c>
      <c r="F731" s="4" t="n">
        <v>1.1</v>
      </c>
      <c r="G731" s="4" t="n">
        <v>23</v>
      </c>
      <c r="H731" s="4" t="n">
        <v>2.17</v>
      </c>
      <c r="I731" s="4" t="n">
        <v>-1.07</v>
      </c>
    </row>
    <row r="732" customFormat="false" ht="15" hidden="false" customHeight="true" outlineLevel="0" collapsed="false">
      <c r="A732" s="4" t="s">
        <v>138</v>
      </c>
      <c r="B732" s="4" t="n">
        <v>12820802</v>
      </c>
      <c r="C732" s="4" t="s">
        <v>93</v>
      </c>
      <c r="D732" s="4" t="s">
        <v>102</v>
      </c>
      <c r="E732" s="4" t="n">
        <v>532</v>
      </c>
      <c r="F732" s="4" t="n">
        <v>48.81</v>
      </c>
      <c r="G732" s="4" t="n">
        <v>487</v>
      </c>
      <c r="H732" s="4" t="n">
        <v>45.94</v>
      </c>
      <c r="I732" s="4" t="n">
        <v>2.86</v>
      </c>
    </row>
    <row r="733" customFormat="false" ht="15" hidden="false" customHeight="true" outlineLevel="0" collapsed="false">
      <c r="A733" s="4" t="s">
        <v>138</v>
      </c>
      <c r="B733" s="4" t="n">
        <v>12820802</v>
      </c>
      <c r="C733" s="4" t="s">
        <v>93</v>
      </c>
      <c r="D733" s="4" t="s">
        <v>105</v>
      </c>
      <c r="E733" s="4" t="n">
        <v>42</v>
      </c>
      <c r="F733" s="4" t="n">
        <v>3.85</v>
      </c>
      <c r="G733" s="4" t="n">
        <v>30</v>
      </c>
      <c r="H733" s="4" t="n">
        <v>2.83</v>
      </c>
      <c r="I733" s="4" t="n">
        <v>1.02</v>
      </c>
    </row>
    <row r="734" customFormat="false" ht="15" hidden="false" customHeight="true" outlineLevel="0" collapsed="false">
      <c r="A734" s="4" t="s">
        <v>138</v>
      </c>
      <c r="B734" s="4" t="n">
        <v>12820802</v>
      </c>
      <c r="C734" s="4" t="s">
        <v>93</v>
      </c>
      <c r="D734" s="4" t="s">
        <v>104</v>
      </c>
      <c r="E734" s="4" t="n">
        <v>17</v>
      </c>
      <c r="F734" s="4" t="n">
        <v>1.56</v>
      </c>
      <c r="G734" s="4" t="n">
        <v>28</v>
      </c>
      <c r="H734" s="4" t="n">
        <v>2.64</v>
      </c>
      <c r="I734" s="4" t="n">
        <v>-1.08</v>
      </c>
    </row>
    <row r="735" customFormat="false" ht="15" hidden="false" customHeight="true" outlineLevel="0" collapsed="false">
      <c r="A735" s="4" t="s">
        <v>138</v>
      </c>
      <c r="B735" s="4" t="n">
        <v>12820802</v>
      </c>
      <c r="C735" s="4" t="s">
        <v>93</v>
      </c>
      <c r="D735" s="4" t="s">
        <v>106</v>
      </c>
      <c r="E735" s="4" t="n">
        <v>44</v>
      </c>
      <c r="F735" s="4" t="n">
        <v>4.04</v>
      </c>
      <c r="G735" s="4" t="n">
        <v>36</v>
      </c>
      <c r="H735" s="4" t="n">
        <v>3.4</v>
      </c>
      <c r="I735" s="4" t="n">
        <v>0.64</v>
      </c>
    </row>
    <row r="736" customFormat="false" ht="15" hidden="false" customHeight="true" outlineLevel="0" collapsed="false">
      <c r="A736" s="4" t="s">
        <v>138</v>
      </c>
      <c r="B736" s="4" t="n">
        <v>12820802</v>
      </c>
      <c r="C736" s="4" t="s">
        <v>93</v>
      </c>
      <c r="D736" s="4" t="s">
        <v>144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</row>
    <row r="737" customFormat="false" ht="15" hidden="false" customHeight="true" outlineLevel="0" collapsed="false">
      <c r="A737" s="4" t="s">
        <v>138</v>
      </c>
      <c r="B737" s="4" t="n">
        <v>12820802</v>
      </c>
      <c r="C737" s="4" t="s">
        <v>93</v>
      </c>
      <c r="D737" s="4" t="s">
        <v>12</v>
      </c>
      <c r="E737" s="4" t="n">
        <v>13</v>
      </c>
      <c r="F737" s="4" t="n">
        <v>1.19</v>
      </c>
      <c r="G737" s="4" t="n">
        <v>15</v>
      </c>
      <c r="H737" s="4" t="n">
        <v>1.42</v>
      </c>
      <c r="I737" s="4" t="n">
        <v>-0.22</v>
      </c>
    </row>
    <row r="738" customFormat="false" ht="15" hidden="false" customHeight="true" outlineLevel="0" collapsed="false">
      <c r="A738" s="4" t="s">
        <v>138</v>
      </c>
      <c r="B738" s="4" t="n">
        <v>12820803</v>
      </c>
      <c r="C738" s="4" t="s">
        <v>95</v>
      </c>
      <c r="D738" s="4" t="s">
        <v>99</v>
      </c>
      <c r="E738" s="4" t="n">
        <v>134</v>
      </c>
      <c r="F738" s="4" t="n">
        <v>15.3</v>
      </c>
      <c r="G738" s="4" t="n">
        <v>133</v>
      </c>
      <c r="H738" s="4" t="n">
        <v>15.11</v>
      </c>
      <c r="I738" s="4" t="n">
        <v>0.18</v>
      </c>
    </row>
    <row r="739" customFormat="false" ht="15" hidden="false" customHeight="true" outlineLevel="0" collapsed="false">
      <c r="A739" s="4" t="s">
        <v>138</v>
      </c>
      <c r="B739" s="4" t="n">
        <v>12820803</v>
      </c>
      <c r="C739" s="4" t="s">
        <v>95</v>
      </c>
      <c r="D739" s="4" t="s">
        <v>101</v>
      </c>
      <c r="E739" s="4" t="n">
        <v>92</v>
      </c>
      <c r="F739" s="4" t="n">
        <v>10.5</v>
      </c>
      <c r="G739" s="4" t="n">
        <v>81</v>
      </c>
      <c r="H739" s="4" t="n">
        <v>9.2</v>
      </c>
      <c r="I739" s="4" t="n">
        <v>1.3</v>
      </c>
    </row>
    <row r="740" customFormat="false" ht="15" hidden="false" customHeight="true" outlineLevel="0" collapsed="false">
      <c r="A740" s="4" t="s">
        <v>138</v>
      </c>
      <c r="B740" s="4" t="n">
        <v>12820803</v>
      </c>
      <c r="C740" s="4" t="s">
        <v>95</v>
      </c>
      <c r="D740" s="4" t="s">
        <v>100</v>
      </c>
      <c r="E740" s="4" t="n">
        <v>108</v>
      </c>
      <c r="F740" s="4" t="n">
        <v>12.33</v>
      </c>
      <c r="G740" s="4" t="n">
        <v>119</v>
      </c>
      <c r="H740" s="4" t="n">
        <v>13.52</v>
      </c>
      <c r="I740" s="4" t="n">
        <v>-1.19</v>
      </c>
    </row>
    <row r="741" customFormat="false" ht="15" hidden="false" customHeight="true" outlineLevel="0" collapsed="false">
      <c r="A741" s="4" t="s">
        <v>138</v>
      </c>
      <c r="B741" s="4" t="n">
        <v>12820803</v>
      </c>
      <c r="C741" s="4" t="s">
        <v>95</v>
      </c>
      <c r="D741" s="4" t="s">
        <v>103</v>
      </c>
      <c r="E741" s="4" t="n">
        <v>14</v>
      </c>
      <c r="F741" s="4" t="n">
        <v>1.6</v>
      </c>
      <c r="G741" s="4" t="n">
        <v>18</v>
      </c>
      <c r="H741" s="4" t="n">
        <v>2.05</v>
      </c>
      <c r="I741" s="4" t="n">
        <v>-0.45</v>
      </c>
    </row>
    <row r="742" customFormat="false" ht="15" hidden="false" customHeight="true" outlineLevel="0" collapsed="false">
      <c r="A742" s="4" t="s">
        <v>138</v>
      </c>
      <c r="B742" s="4" t="n">
        <v>12820803</v>
      </c>
      <c r="C742" s="4" t="s">
        <v>95</v>
      </c>
      <c r="D742" s="4" t="s">
        <v>102</v>
      </c>
      <c r="E742" s="4" t="n">
        <v>456</v>
      </c>
      <c r="F742" s="4" t="n">
        <v>52.05</v>
      </c>
      <c r="G742" s="4" t="n">
        <v>445</v>
      </c>
      <c r="H742" s="4" t="n">
        <v>50.57</v>
      </c>
      <c r="I742" s="4" t="n">
        <v>1.49</v>
      </c>
    </row>
    <row r="743" customFormat="false" ht="15" hidden="false" customHeight="true" outlineLevel="0" collapsed="false">
      <c r="A743" s="4" t="s">
        <v>138</v>
      </c>
      <c r="B743" s="4" t="n">
        <v>12820803</v>
      </c>
      <c r="C743" s="4" t="s">
        <v>95</v>
      </c>
      <c r="D743" s="4" t="s">
        <v>105</v>
      </c>
      <c r="E743" s="4" t="n">
        <v>26</v>
      </c>
      <c r="F743" s="4" t="n">
        <v>2.97</v>
      </c>
      <c r="G743" s="4" t="n">
        <v>22</v>
      </c>
      <c r="H743" s="4" t="n">
        <v>2.5</v>
      </c>
      <c r="I743" s="4" t="n">
        <v>0.47</v>
      </c>
    </row>
    <row r="744" customFormat="false" ht="15" hidden="false" customHeight="true" outlineLevel="0" collapsed="false">
      <c r="A744" s="4" t="s">
        <v>138</v>
      </c>
      <c r="B744" s="4" t="n">
        <v>12820803</v>
      </c>
      <c r="C744" s="4" t="s">
        <v>95</v>
      </c>
      <c r="D744" s="4" t="s">
        <v>104</v>
      </c>
      <c r="E744" s="4" t="n">
        <v>15</v>
      </c>
      <c r="F744" s="4" t="n">
        <v>1.71</v>
      </c>
      <c r="G744" s="4" t="n">
        <v>27</v>
      </c>
      <c r="H744" s="4" t="n">
        <v>3.07</v>
      </c>
      <c r="I744" s="4" t="n">
        <v>-1.36</v>
      </c>
    </row>
    <row r="745" customFormat="false" ht="15" hidden="false" customHeight="true" outlineLevel="0" collapsed="false">
      <c r="A745" s="4" t="s">
        <v>138</v>
      </c>
      <c r="B745" s="4" t="n">
        <v>12820803</v>
      </c>
      <c r="C745" s="4" t="s">
        <v>95</v>
      </c>
      <c r="D745" s="4" t="s">
        <v>106</v>
      </c>
      <c r="E745" s="4" t="n">
        <v>29</v>
      </c>
      <c r="F745" s="4" t="n">
        <v>3.31</v>
      </c>
      <c r="G745" s="4" t="n">
        <v>31</v>
      </c>
      <c r="H745" s="4" t="n">
        <v>3.52</v>
      </c>
      <c r="I745" s="4" t="n">
        <v>-0.21</v>
      </c>
    </row>
    <row r="746" customFormat="false" ht="15" hidden="false" customHeight="true" outlineLevel="0" collapsed="false">
      <c r="A746" s="4" t="s">
        <v>138</v>
      </c>
      <c r="B746" s="4" t="n">
        <v>12820803</v>
      </c>
      <c r="C746" s="4" t="s">
        <v>95</v>
      </c>
      <c r="D746" s="4" t="s">
        <v>144</v>
      </c>
      <c r="E746" s="4" t="n">
        <v>2</v>
      </c>
      <c r="F746" s="4" t="n">
        <v>0.23</v>
      </c>
      <c r="G746" s="4" t="n">
        <v>0</v>
      </c>
      <c r="H746" s="4" t="n">
        <v>0</v>
      </c>
      <c r="I746" s="4" t="n">
        <v>0.23</v>
      </c>
    </row>
    <row r="747" customFormat="false" ht="15" hidden="false" customHeight="true" outlineLevel="0" collapsed="false">
      <c r="A747" s="4" t="s">
        <v>138</v>
      </c>
      <c r="B747" s="4" t="n">
        <v>12820803</v>
      </c>
      <c r="C747" s="4" t="s">
        <v>95</v>
      </c>
      <c r="D747" s="4" t="s">
        <v>12</v>
      </c>
      <c r="E747" s="4" t="n">
        <v>0</v>
      </c>
      <c r="F747" s="4" t="n">
        <v>0</v>
      </c>
      <c r="G747" s="4" t="n">
        <v>4</v>
      </c>
      <c r="H747" s="4" t="n">
        <v>0.45</v>
      </c>
      <c r="I747" s="4" t="n">
        <v>-0.45</v>
      </c>
    </row>
    <row r="748" customFormat="false" ht="15" hidden="false" customHeight="true" outlineLevel="0" collapsed="false">
      <c r="A748" s="4" t="s">
        <v>138</v>
      </c>
      <c r="B748" s="4" t="n">
        <v>128200</v>
      </c>
      <c r="C748" s="4" t="s">
        <v>147</v>
      </c>
      <c r="D748" s="4" t="s">
        <v>99</v>
      </c>
      <c r="E748" s="4" t="n">
        <v>204</v>
      </c>
      <c r="F748" s="4" t="n">
        <v>25.92</v>
      </c>
      <c r="G748" s="4"/>
      <c r="H748" s="4"/>
      <c r="I748" s="4"/>
    </row>
    <row r="749" customFormat="false" ht="15" hidden="false" customHeight="true" outlineLevel="0" collapsed="false">
      <c r="A749" s="4" t="s">
        <v>138</v>
      </c>
      <c r="B749" s="4" t="n">
        <v>128200</v>
      </c>
      <c r="C749" s="4" t="s">
        <v>147</v>
      </c>
      <c r="D749" s="4" t="s">
        <v>101</v>
      </c>
      <c r="E749" s="4" t="n">
        <v>68</v>
      </c>
      <c r="F749" s="4" t="n">
        <v>8.64</v>
      </c>
      <c r="G749" s="4"/>
      <c r="H749" s="4"/>
      <c r="I749" s="4"/>
    </row>
    <row r="750" customFormat="false" ht="15" hidden="false" customHeight="true" outlineLevel="0" collapsed="false">
      <c r="A750" s="4" t="s">
        <v>138</v>
      </c>
      <c r="B750" s="4" t="n">
        <v>128200</v>
      </c>
      <c r="C750" s="4" t="s">
        <v>147</v>
      </c>
      <c r="D750" s="4" t="s">
        <v>100</v>
      </c>
      <c r="E750" s="4" t="n">
        <v>112</v>
      </c>
      <c r="F750" s="4" t="n">
        <v>14.23</v>
      </c>
      <c r="G750" s="4"/>
      <c r="H750" s="4"/>
      <c r="I750" s="4"/>
    </row>
    <row r="751" customFormat="false" ht="15" hidden="false" customHeight="true" outlineLevel="0" collapsed="false">
      <c r="A751" s="4" t="s">
        <v>138</v>
      </c>
      <c r="B751" s="4" t="n">
        <v>128200</v>
      </c>
      <c r="C751" s="4" t="s">
        <v>147</v>
      </c>
      <c r="D751" s="4" t="s">
        <v>103</v>
      </c>
      <c r="E751" s="4" t="n">
        <v>69</v>
      </c>
      <c r="F751" s="4" t="n">
        <v>8.77</v>
      </c>
      <c r="G751" s="4"/>
      <c r="H751" s="4"/>
      <c r="I751" s="4"/>
    </row>
    <row r="752" customFormat="false" ht="15" hidden="false" customHeight="true" outlineLevel="0" collapsed="false">
      <c r="A752" s="4" t="s">
        <v>138</v>
      </c>
      <c r="B752" s="4" t="n">
        <v>128200</v>
      </c>
      <c r="C752" s="4" t="s">
        <v>147</v>
      </c>
      <c r="D752" s="4" t="s">
        <v>102</v>
      </c>
      <c r="E752" s="4" t="n">
        <v>265</v>
      </c>
      <c r="F752" s="4" t="n">
        <v>33.67</v>
      </c>
      <c r="G752" s="4"/>
      <c r="H752" s="4"/>
      <c r="I752" s="4"/>
    </row>
    <row r="753" customFormat="false" ht="15" hidden="false" customHeight="true" outlineLevel="0" collapsed="false">
      <c r="A753" s="4" t="s">
        <v>138</v>
      </c>
      <c r="B753" s="4" t="n">
        <v>128200</v>
      </c>
      <c r="C753" s="4" t="s">
        <v>147</v>
      </c>
      <c r="D753" s="4" t="s">
        <v>105</v>
      </c>
      <c r="E753" s="4" t="n">
        <v>13</v>
      </c>
      <c r="F753" s="4" t="n">
        <v>1.65</v>
      </c>
      <c r="G753" s="4"/>
      <c r="H753" s="4"/>
      <c r="I753" s="4"/>
    </row>
    <row r="754" customFormat="false" ht="15" hidden="false" customHeight="true" outlineLevel="0" collapsed="false">
      <c r="A754" s="4" t="s">
        <v>138</v>
      </c>
      <c r="B754" s="4" t="n">
        <v>128200</v>
      </c>
      <c r="C754" s="4" t="s">
        <v>147</v>
      </c>
      <c r="D754" s="4" t="s">
        <v>104</v>
      </c>
      <c r="E754" s="4" t="n">
        <v>11</v>
      </c>
      <c r="F754" s="4" t="n">
        <v>1.4</v>
      </c>
      <c r="G754" s="4"/>
      <c r="H754" s="4"/>
      <c r="I754" s="4"/>
    </row>
    <row r="755" customFormat="false" ht="15" hidden="false" customHeight="true" outlineLevel="0" collapsed="false">
      <c r="A755" s="4" t="s">
        <v>138</v>
      </c>
      <c r="B755" s="4" t="n">
        <v>128200</v>
      </c>
      <c r="C755" s="4" t="s">
        <v>147</v>
      </c>
      <c r="D755" s="4" t="s">
        <v>106</v>
      </c>
      <c r="E755" s="4" t="n">
        <v>35</v>
      </c>
      <c r="F755" s="4" t="n">
        <v>4.45</v>
      </c>
      <c r="G755" s="4"/>
      <c r="H755" s="4"/>
      <c r="I755" s="4"/>
    </row>
    <row r="756" customFormat="false" ht="15" hidden="false" customHeight="true" outlineLevel="0" collapsed="false">
      <c r="A756" s="4" t="s">
        <v>138</v>
      </c>
      <c r="B756" s="4" t="n">
        <v>128200</v>
      </c>
      <c r="C756" s="4" t="s">
        <v>147</v>
      </c>
      <c r="D756" s="4" t="s">
        <v>144</v>
      </c>
      <c r="E756" s="4" t="n">
        <v>7</v>
      </c>
      <c r="F756" s="4" t="n">
        <v>0.89</v>
      </c>
      <c r="G756" s="4"/>
      <c r="H756" s="4"/>
      <c r="I756" s="4"/>
    </row>
    <row r="757" customFormat="false" ht="15" hidden="false" customHeight="true" outlineLevel="0" collapsed="false">
      <c r="A757" s="4" t="s">
        <v>138</v>
      </c>
      <c r="B757" s="4" t="n">
        <v>128200</v>
      </c>
      <c r="C757" s="4" t="s">
        <v>147</v>
      </c>
      <c r="D757" s="4" t="s">
        <v>12</v>
      </c>
      <c r="E757" s="4" t="n">
        <v>3</v>
      </c>
      <c r="F757" s="4" t="n">
        <v>0.38</v>
      </c>
      <c r="G757" s="4"/>
      <c r="H757" s="4"/>
      <c r="I757" s="4"/>
    </row>
  </sheetData>
  <autoFilter ref="A1:I7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</cols>
  <sheetData>
    <row r="1" customFormat="false" ht="15" hidden="false" customHeight="true" outlineLevel="0" collapsed="false">
      <c r="A1" s="5" t="s">
        <v>114</v>
      </c>
      <c r="B1" s="5" t="s">
        <v>159</v>
      </c>
      <c r="C1" s="5" t="s">
        <v>160</v>
      </c>
      <c r="D1" s="5" t="s">
        <v>161</v>
      </c>
      <c r="E1" s="5" t="s">
        <v>162</v>
      </c>
      <c r="F1" s="5" t="s">
        <v>163</v>
      </c>
      <c r="G1" s="5" t="s">
        <v>164</v>
      </c>
    </row>
    <row r="2" customFormat="false" ht="15" hidden="false" customHeight="true" outlineLevel="0" collapsed="false">
      <c r="A2" s="4" t="s">
        <v>165</v>
      </c>
      <c r="B2" s="4" t="s">
        <v>102</v>
      </c>
      <c r="C2" s="4" t="n">
        <v>39.89</v>
      </c>
      <c r="D2" s="4" t="n">
        <v>37.78</v>
      </c>
      <c r="E2" s="13" t="n">
        <f aca="false">C2-D2</f>
        <v>2.11</v>
      </c>
      <c r="F2" s="4" t="n">
        <v>26</v>
      </c>
      <c r="G2" s="4" t="n">
        <v>20</v>
      </c>
    </row>
    <row r="3" customFormat="false" ht="15" hidden="false" customHeight="true" outlineLevel="0" collapsed="false">
      <c r="A3" s="4" t="s">
        <v>165</v>
      </c>
      <c r="B3" s="4" t="s">
        <v>99</v>
      </c>
      <c r="C3" s="4" t="n">
        <v>25.48</v>
      </c>
      <c r="D3" s="4" t="n">
        <v>23.06</v>
      </c>
      <c r="E3" s="13" t="n">
        <f aca="false">C3-D3</f>
        <v>2.42</v>
      </c>
      <c r="F3" s="4" t="n">
        <v>16</v>
      </c>
      <c r="G3" s="4" t="n">
        <v>12</v>
      </c>
    </row>
    <row r="4" customFormat="false" ht="15" hidden="false" customHeight="true" outlineLevel="0" collapsed="false">
      <c r="A4" s="4" t="s">
        <v>165</v>
      </c>
      <c r="B4" s="4" t="s">
        <v>100</v>
      </c>
      <c r="C4" s="4" t="n">
        <v>14.04</v>
      </c>
      <c r="D4" s="4" t="n">
        <v>18.51</v>
      </c>
      <c r="E4" s="13" t="n">
        <f aca="false">C4-D4</f>
        <v>-4.47</v>
      </c>
      <c r="F4" s="4" t="n">
        <v>9</v>
      </c>
      <c r="G4" s="4" t="n">
        <v>10</v>
      </c>
    </row>
    <row r="5" customFormat="false" ht="15" hidden="false" customHeight="true" outlineLevel="0" collapsed="false">
      <c r="A5" s="4" t="s">
        <v>165</v>
      </c>
      <c r="B5" s="4" t="s">
        <v>103</v>
      </c>
      <c r="C5" s="4" t="n">
        <v>6.7</v>
      </c>
      <c r="D5" s="4" t="n">
        <v>4.33</v>
      </c>
      <c r="E5" s="13" t="n">
        <f aca="false">C5-D5</f>
        <v>2.37</v>
      </c>
      <c r="F5" s="4" t="n">
        <v>4</v>
      </c>
      <c r="G5" s="4" t="n">
        <v>2</v>
      </c>
    </row>
    <row r="6" customFormat="false" ht="15" hidden="false" customHeight="true" outlineLevel="0" collapsed="false">
      <c r="A6" s="4" t="s">
        <v>165</v>
      </c>
      <c r="B6" s="4" t="s">
        <v>101</v>
      </c>
      <c r="C6" s="4" t="n">
        <v>6.03</v>
      </c>
      <c r="D6" s="4" t="n">
        <v>7.05</v>
      </c>
      <c r="E6" s="13" t="n">
        <f aca="false">C6-D6</f>
        <v>-1.02</v>
      </c>
      <c r="F6" s="4" t="n">
        <v>4</v>
      </c>
      <c r="G6" s="4" t="n">
        <v>4</v>
      </c>
    </row>
    <row r="7" customFormat="false" ht="15" hidden="false" customHeight="true" outlineLevel="0" collapsed="false">
      <c r="A7" s="4" t="s">
        <v>165</v>
      </c>
      <c r="B7" s="4" t="s">
        <v>106</v>
      </c>
      <c r="C7" s="4" t="n">
        <v>3.7</v>
      </c>
      <c r="D7" s="4" t="n">
        <v>3.22</v>
      </c>
      <c r="E7" s="13" t="n">
        <f aca="false">C7-D7</f>
        <v>0.48</v>
      </c>
      <c r="F7" s="4" t="n">
        <v>2</v>
      </c>
      <c r="G7" s="4" t="n">
        <v>2</v>
      </c>
    </row>
    <row r="8" customFormat="false" ht="15" hidden="false" customHeight="true" outlineLevel="0" collapsed="false">
      <c r="A8" s="4" t="s">
        <v>165</v>
      </c>
      <c r="B8" s="4" t="s">
        <v>144</v>
      </c>
      <c r="C8" s="4" t="n">
        <v>1.51</v>
      </c>
      <c r="D8" s="4" t="n">
        <v>0</v>
      </c>
      <c r="E8" s="13" t="n">
        <f aca="false">C8-D8</f>
        <v>1.51</v>
      </c>
      <c r="F8" s="4" t="n">
        <v>0</v>
      </c>
      <c r="G8" s="4" t="n">
        <v>0</v>
      </c>
    </row>
    <row r="9" customFormat="false" ht="15" hidden="false" customHeight="true" outlineLevel="0" collapsed="false">
      <c r="A9" s="4" t="s">
        <v>165</v>
      </c>
      <c r="B9" s="4" t="s">
        <v>105</v>
      </c>
      <c r="C9" s="4" t="n">
        <v>1.24</v>
      </c>
      <c r="D9" s="4" t="n">
        <v>1.81</v>
      </c>
      <c r="E9" s="13" t="n">
        <f aca="false">C9-D9</f>
        <v>-0.57</v>
      </c>
      <c r="F9" s="4" t="n">
        <v>0</v>
      </c>
      <c r="G9" s="4" t="n">
        <v>0</v>
      </c>
    </row>
    <row r="10" customFormat="false" ht="15" hidden="false" customHeight="true" outlineLevel="0" collapsed="false">
      <c r="A10" s="4" t="s">
        <v>165</v>
      </c>
      <c r="B10" s="4" t="s">
        <v>104</v>
      </c>
      <c r="C10" s="4" t="n">
        <v>1.04</v>
      </c>
      <c r="D10" s="4" t="n">
        <v>1.21</v>
      </c>
      <c r="E10" s="13" t="n">
        <f aca="false">C10-D10</f>
        <v>-0.17</v>
      </c>
      <c r="F10" s="4" t="n">
        <v>0</v>
      </c>
      <c r="G10" s="4" t="n">
        <v>0</v>
      </c>
    </row>
    <row r="11" customFormat="false" ht="15" hidden="false" customHeight="true" outlineLevel="0" collapsed="false">
      <c r="A11" s="4" t="s">
        <v>165</v>
      </c>
      <c r="B11" s="4" t="s">
        <v>166</v>
      </c>
      <c r="C11" s="4" t="n">
        <v>0.08</v>
      </c>
      <c r="D11" s="4" t="n">
        <v>2.49</v>
      </c>
      <c r="E11" s="13" t="n">
        <f aca="false">C11-D11</f>
        <v>-2.41</v>
      </c>
      <c r="F11" s="4" t="n">
        <v>0</v>
      </c>
      <c r="G11" s="4" t="n">
        <v>1</v>
      </c>
    </row>
    <row r="12" customFormat="false" ht="15" hidden="false" customHeight="true" outlineLevel="0" collapsed="false">
      <c r="A12" s="4" t="s">
        <v>167</v>
      </c>
      <c r="B12" s="4" t="s">
        <v>99</v>
      </c>
      <c r="C12" s="4" t="n">
        <v>33.04</v>
      </c>
      <c r="D12" s="4" t="n">
        <v>32.87</v>
      </c>
      <c r="E12" s="13" t="n">
        <f aca="false">C12-D12</f>
        <v>0.170000000000002</v>
      </c>
      <c r="F12" s="4"/>
      <c r="G12" s="4"/>
    </row>
    <row r="13" customFormat="false" ht="15" hidden="false" customHeight="true" outlineLevel="0" collapsed="false">
      <c r="A13" s="4" t="s">
        <v>167</v>
      </c>
      <c r="B13" s="4" t="s">
        <v>100</v>
      </c>
      <c r="C13" s="4" t="n">
        <v>18.05</v>
      </c>
      <c r="D13" s="4" t="n">
        <v>21.08</v>
      </c>
      <c r="E13" s="13" t="n">
        <f aca="false">C13-D13</f>
        <v>-3.03</v>
      </c>
      <c r="F13" s="4"/>
      <c r="G13" s="4"/>
    </row>
    <row r="14" customFormat="false" ht="15" hidden="false" customHeight="true" outlineLevel="0" collapsed="false">
      <c r="A14" s="4" t="s">
        <v>167</v>
      </c>
      <c r="B14" s="4" t="s">
        <v>101</v>
      </c>
      <c r="C14" s="4" t="n">
        <v>17.74</v>
      </c>
      <c r="D14" s="4" t="n">
        <v>16.84</v>
      </c>
      <c r="E14" s="13" t="n">
        <f aca="false">C14-D14</f>
        <v>0.899999999999999</v>
      </c>
      <c r="F14" s="4"/>
      <c r="G14" s="4"/>
    </row>
    <row r="15" customFormat="false" ht="15" hidden="false" customHeight="true" outlineLevel="0" collapsed="false">
      <c r="A15" s="4" t="s">
        <v>167</v>
      </c>
      <c r="B15" s="4" t="s">
        <v>102</v>
      </c>
      <c r="C15" s="4" t="n">
        <v>11.06</v>
      </c>
      <c r="D15" s="4" t="n">
        <v>10.45</v>
      </c>
      <c r="E15" s="13" t="n">
        <f aca="false">C15-D15</f>
        <v>0.610000000000001</v>
      </c>
      <c r="F15" s="4"/>
      <c r="G15" s="4"/>
    </row>
    <row r="16" customFormat="false" ht="15" hidden="false" customHeight="true" outlineLevel="0" collapsed="false">
      <c r="A16" s="4" t="s">
        <v>167</v>
      </c>
      <c r="B16" s="4" t="s">
        <v>103</v>
      </c>
      <c r="C16" s="4" t="n">
        <v>9.01</v>
      </c>
      <c r="D16" s="4" t="n">
        <v>5.55</v>
      </c>
      <c r="E16" s="13" t="n">
        <f aca="false">C16-D16</f>
        <v>3.46</v>
      </c>
      <c r="F16" s="4"/>
      <c r="G16" s="4"/>
    </row>
    <row r="17" customFormat="false" ht="15" hidden="false" customHeight="true" outlineLevel="0" collapsed="false">
      <c r="A17" s="4" t="s">
        <v>167</v>
      </c>
      <c r="B17" s="4" t="s">
        <v>104</v>
      </c>
      <c r="C17" s="4" t="n">
        <v>4.71</v>
      </c>
      <c r="D17" s="4" t="n">
        <v>4.8</v>
      </c>
      <c r="E17" s="13" t="n">
        <f aca="false">C17-D17</f>
        <v>-0.0899999999999999</v>
      </c>
      <c r="F17" s="4"/>
      <c r="G17" s="4"/>
    </row>
    <row r="18" customFormat="false" ht="15" hidden="false" customHeight="true" outlineLevel="0" collapsed="false">
      <c r="A18" s="4" t="s">
        <v>167</v>
      </c>
      <c r="B18" s="4" t="s">
        <v>106</v>
      </c>
      <c r="C18" s="4" t="n">
        <v>3.28</v>
      </c>
      <c r="D18" s="4" t="n">
        <v>2.42</v>
      </c>
      <c r="E18" s="13" t="n">
        <f aca="false">C18-D18</f>
        <v>0.86</v>
      </c>
      <c r="F18" s="4"/>
      <c r="G18" s="4"/>
    </row>
    <row r="19" customFormat="false" ht="15" hidden="false" customHeight="true" outlineLevel="0" collapsed="false">
      <c r="A19" s="4" t="s">
        <v>167</v>
      </c>
      <c r="B19" s="4" t="s">
        <v>105</v>
      </c>
      <c r="C19" s="4" t="n">
        <v>2.41</v>
      </c>
      <c r="D19" s="4" t="n">
        <v>2.81</v>
      </c>
      <c r="E19" s="13" t="n">
        <f aca="false">C19-D19</f>
        <v>-0.4</v>
      </c>
      <c r="F19" s="4"/>
      <c r="G19" s="4"/>
    </row>
    <row r="20" customFormat="false" ht="15" hidden="false" customHeight="true" outlineLevel="0" collapsed="false">
      <c r="A20" s="4" t="s">
        <v>168</v>
      </c>
      <c r="B20" s="4" t="s">
        <v>99</v>
      </c>
      <c r="C20" s="4" t="n">
        <v>30.24</v>
      </c>
      <c r="D20" s="4" t="n">
        <v>31.08</v>
      </c>
      <c r="E20" s="13" t="n">
        <f aca="false">C20-D20</f>
        <v>-0.84</v>
      </c>
      <c r="F20" s="4"/>
      <c r="G20" s="4"/>
    </row>
    <row r="21" customFormat="false" ht="15" hidden="false" customHeight="true" outlineLevel="0" collapsed="false">
      <c r="A21" s="4" t="s">
        <v>168</v>
      </c>
      <c r="B21" s="4" t="s">
        <v>100</v>
      </c>
      <c r="C21" s="4" t="n">
        <v>22.85</v>
      </c>
      <c r="D21" s="4" t="n">
        <v>27.41</v>
      </c>
      <c r="E21" s="13" t="n">
        <f aca="false">C21-D21</f>
        <v>-4.56</v>
      </c>
      <c r="F21" s="4"/>
      <c r="G21" s="4"/>
    </row>
    <row r="22" customFormat="false" ht="15" hidden="false" customHeight="true" outlineLevel="0" collapsed="false">
      <c r="A22" s="4" t="s">
        <v>168</v>
      </c>
      <c r="B22" s="4" t="s">
        <v>101</v>
      </c>
      <c r="C22" s="4" t="n">
        <v>17.12</v>
      </c>
      <c r="D22" s="4" t="n">
        <v>17.34</v>
      </c>
      <c r="E22" s="13" t="n">
        <f aca="false">C22-D22</f>
        <v>-0.219999999999999</v>
      </c>
      <c r="F22" s="4"/>
      <c r="G22" s="4"/>
    </row>
    <row r="23" customFormat="false" ht="15" hidden="false" customHeight="true" outlineLevel="0" collapsed="false">
      <c r="A23" s="4" t="s">
        <v>168</v>
      </c>
      <c r="B23" s="4" t="s">
        <v>103</v>
      </c>
      <c r="C23" s="4" t="n">
        <v>8.67</v>
      </c>
      <c r="D23" s="4" t="n">
        <v>4.78</v>
      </c>
      <c r="E23" s="13" t="n">
        <f aca="false">C23-D23</f>
        <v>3.89</v>
      </c>
      <c r="F23" s="4"/>
      <c r="G23" s="4"/>
    </row>
    <row r="24" customFormat="false" ht="15" hidden="false" customHeight="true" outlineLevel="0" collapsed="false">
      <c r="A24" s="4" t="s">
        <v>168</v>
      </c>
      <c r="B24" s="4" t="s">
        <v>102</v>
      </c>
      <c r="C24" s="4" t="n">
        <v>8.46</v>
      </c>
      <c r="D24" s="4" t="n">
        <v>6.1</v>
      </c>
      <c r="E24" s="13" t="n">
        <f aca="false">C24-D24</f>
        <v>2.36</v>
      </c>
      <c r="F24" s="4"/>
      <c r="G24" s="4"/>
    </row>
    <row r="25" customFormat="false" ht="15" hidden="false" customHeight="true" outlineLevel="0" collapsed="false">
      <c r="A25" s="4" t="s">
        <v>168</v>
      </c>
      <c r="B25" s="4" t="s">
        <v>104</v>
      </c>
      <c r="C25" s="4" t="n">
        <v>3.88</v>
      </c>
      <c r="D25" s="4" t="n">
        <v>3.58</v>
      </c>
      <c r="E25" s="13" t="n">
        <f aca="false">C25-D25</f>
        <v>0.3</v>
      </c>
      <c r="F25" s="4"/>
      <c r="G25" s="4"/>
    </row>
    <row r="26" customFormat="false" ht="15" hidden="false" customHeight="true" outlineLevel="0" collapsed="false">
      <c r="A26" s="4" t="s">
        <v>168</v>
      </c>
      <c r="B26" s="4" t="s">
        <v>105</v>
      </c>
      <c r="C26" s="4" t="n">
        <v>3.88</v>
      </c>
      <c r="D26" s="4" t="n">
        <v>3.76</v>
      </c>
      <c r="E26" s="13" t="n">
        <f aca="false">C26-D26</f>
        <v>0.12</v>
      </c>
      <c r="F26" s="4"/>
      <c r="G26" s="4"/>
    </row>
    <row r="27" customFormat="false" ht="15" hidden="false" customHeight="true" outlineLevel="0" collapsed="false">
      <c r="A27" s="4" t="s">
        <v>168</v>
      </c>
      <c r="B27" s="4" t="s">
        <v>106</v>
      </c>
      <c r="C27" s="4" t="n">
        <v>3.68</v>
      </c>
      <c r="D27" s="4" t="n">
        <v>3.11</v>
      </c>
      <c r="E27" s="13" t="n">
        <f aca="false">C27-D27</f>
        <v>0.57</v>
      </c>
      <c r="F27" s="4"/>
      <c r="G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true" outlineLevel="0" collapsed="false">
      <c r="A29" s="4" t="s">
        <v>169</v>
      </c>
      <c r="B29" s="4"/>
      <c r="C29" s="4"/>
      <c r="D29" s="4"/>
      <c r="E29" s="4"/>
      <c r="F29" s="4"/>
      <c r="G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7" t="s">
        <v>113</v>
      </c>
      <c r="B1" s="7" t="s">
        <v>114</v>
      </c>
      <c r="C1" s="7" t="s">
        <v>24</v>
      </c>
      <c r="D1" s="7" t="s">
        <v>25</v>
      </c>
      <c r="E1" s="7" t="s">
        <v>170</v>
      </c>
      <c r="F1" s="7" t="s">
        <v>99</v>
      </c>
      <c r="G1" s="7" t="s">
        <v>101</v>
      </c>
      <c r="H1" s="7" t="s">
        <v>100</v>
      </c>
      <c r="I1" s="7" t="s">
        <v>102</v>
      </c>
      <c r="J1" s="7" t="s">
        <v>103</v>
      </c>
      <c r="K1" s="7" t="s">
        <v>105</v>
      </c>
      <c r="L1" s="7" t="s">
        <v>104</v>
      </c>
      <c r="M1" s="7" t="s">
        <v>106</v>
      </c>
      <c r="N1" s="7" t="s">
        <v>144</v>
      </c>
      <c r="O1" s="7" t="s">
        <v>12</v>
      </c>
      <c r="P1" s="7" t="s">
        <v>125</v>
      </c>
      <c r="Q1" s="7" t="s">
        <v>171</v>
      </c>
      <c r="R1" s="7" t="s">
        <v>136</v>
      </c>
      <c r="S1" s="7" t="s">
        <v>16</v>
      </c>
    </row>
    <row r="2" customFormat="false" ht="15" hidden="false" customHeight="false" outlineLevel="0" collapsed="false">
      <c r="A2" s="8" t="n">
        <v>2006</v>
      </c>
      <c r="B2" s="8" t="s">
        <v>138</v>
      </c>
      <c r="C2" s="8" t="s">
        <v>172</v>
      </c>
      <c r="D2" s="8" t="s">
        <v>173</v>
      </c>
      <c r="E2" s="8"/>
      <c r="F2" s="8" t="n">
        <v>372</v>
      </c>
      <c r="G2" s="8" t="n">
        <v>206</v>
      </c>
      <c r="H2" s="8" t="n">
        <v>286</v>
      </c>
      <c r="I2" s="8" t="n">
        <v>373</v>
      </c>
      <c r="J2" s="8" t="n">
        <v>74</v>
      </c>
      <c r="K2" s="8" t="n">
        <v>13</v>
      </c>
      <c r="L2" s="8" t="n">
        <v>8</v>
      </c>
      <c r="M2" s="8" t="n">
        <v>42</v>
      </c>
      <c r="N2" s="8" t="n">
        <v>0</v>
      </c>
      <c r="O2" s="8" t="n">
        <v>12</v>
      </c>
      <c r="P2" s="8" t="n">
        <v>1386</v>
      </c>
      <c r="Q2" s="8" t="n">
        <v>23</v>
      </c>
      <c r="R2" s="8" t="n">
        <v>1410</v>
      </c>
      <c r="S2" s="8" t="n">
        <v>1922</v>
      </c>
    </row>
    <row r="3" customFormat="false" ht="15" hidden="false" customHeight="false" outlineLevel="0" collapsed="false">
      <c r="A3" s="8" t="n">
        <v>2006</v>
      </c>
      <c r="B3" s="8" t="s">
        <v>138</v>
      </c>
      <c r="C3" s="8" t="s">
        <v>174</v>
      </c>
      <c r="D3" s="8" t="s">
        <v>175</v>
      </c>
      <c r="E3" s="8"/>
      <c r="F3" s="8" t="n">
        <v>351</v>
      </c>
      <c r="G3" s="8" t="n">
        <v>124</v>
      </c>
      <c r="H3" s="8" t="n">
        <v>218</v>
      </c>
      <c r="I3" s="8" t="n">
        <v>245</v>
      </c>
      <c r="J3" s="8" t="n">
        <v>47</v>
      </c>
      <c r="K3" s="8" t="n">
        <v>10</v>
      </c>
      <c r="L3" s="8" t="n">
        <v>8</v>
      </c>
      <c r="M3" s="8" t="n">
        <v>39</v>
      </c>
      <c r="N3" s="8" t="n">
        <v>0</v>
      </c>
      <c r="O3" s="8" t="n">
        <v>8</v>
      </c>
      <c r="P3" s="8" t="n">
        <v>1050</v>
      </c>
      <c r="Q3" s="8" t="n">
        <v>5</v>
      </c>
      <c r="R3" s="8" t="n">
        <v>1055</v>
      </c>
      <c r="S3" s="8" t="n">
        <v>1419</v>
      </c>
    </row>
    <row r="4" customFormat="false" ht="15" hidden="false" customHeight="false" outlineLevel="0" collapsed="false">
      <c r="A4" s="8" t="n">
        <v>2006</v>
      </c>
      <c r="B4" s="8" t="s">
        <v>138</v>
      </c>
      <c r="C4" s="8" t="s">
        <v>176</v>
      </c>
      <c r="D4" s="8" t="s">
        <v>177</v>
      </c>
      <c r="E4" s="8"/>
      <c r="F4" s="8" t="n">
        <v>371</v>
      </c>
      <c r="G4" s="8" t="n">
        <v>116</v>
      </c>
      <c r="H4" s="8" t="n">
        <v>225</v>
      </c>
      <c r="I4" s="8" t="n">
        <v>148</v>
      </c>
      <c r="J4" s="8" t="n">
        <v>49</v>
      </c>
      <c r="K4" s="8" t="n">
        <v>10</v>
      </c>
      <c r="L4" s="8" t="n">
        <v>14</v>
      </c>
      <c r="M4" s="8" t="n">
        <v>34</v>
      </c>
      <c r="N4" s="8" t="n">
        <v>0</v>
      </c>
      <c r="O4" s="8" t="n">
        <v>4</v>
      </c>
      <c r="P4" s="8" t="n">
        <v>971</v>
      </c>
      <c r="Q4" s="8" t="n">
        <v>12</v>
      </c>
      <c r="R4" s="8" t="n">
        <v>983</v>
      </c>
      <c r="S4" s="8" t="n">
        <v>1514</v>
      </c>
    </row>
    <row r="5" customFormat="false" ht="15" hidden="false" customHeight="false" outlineLevel="0" collapsed="false">
      <c r="A5" s="8" t="n">
        <v>2006</v>
      </c>
      <c r="B5" s="8" t="s">
        <v>138</v>
      </c>
      <c r="C5" s="8" t="s">
        <v>178</v>
      </c>
      <c r="D5" s="8" t="s">
        <v>179</v>
      </c>
      <c r="E5" s="8"/>
      <c r="F5" s="8" t="n">
        <v>482</v>
      </c>
      <c r="G5" s="8" t="n">
        <v>118</v>
      </c>
      <c r="H5" s="8" t="n">
        <v>185</v>
      </c>
      <c r="I5" s="8" t="n">
        <v>136</v>
      </c>
      <c r="J5" s="8" t="n">
        <v>63</v>
      </c>
      <c r="K5" s="8" t="n">
        <v>12</v>
      </c>
      <c r="L5" s="8" t="n">
        <v>10</v>
      </c>
      <c r="M5" s="8" t="n">
        <v>41</v>
      </c>
      <c r="N5" s="8" t="n">
        <v>0</v>
      </c>
      <c r="O5" s="8" t="n">
        <v>13</v>
      </c>
      <c r="P5" s="8" t="n">
        <v>1060</v>
      </c>
      <c r="Q5" s="8" t="n">
        <v>14</v>
      </c>
      <c r="R5" s="8" t="n">
        <v>1074</v>
      </c>
      <c r="S5" s="8" t="n">
        <v>1713</v>
      </c>
    </row>
    <row r="6" customFormat="false" ht="15" hidden="false" customHeight="false" outlineLevel="0" collapsed="false">
      <c r="A6" s="8" t="n">
        <v>2006</v>
      </c>
      <c r="B6" s="8" t="s">
        <v>138</v>
      </c>
      <c r="C6" s="8" t="s">
        <v>180</v>
      </c>
      <c r="D6" s="8" t="s">
        <v>181</v>
      </c>
      <c r="E6" s="8"/>
      <c r="F6" s="8" t="n">
        <v>379</v>
      </c>
      <c r="G6" s="8" t="n">
        <v>110</v>
      </c>
      <c r="H6" s="8" t="n">
        <v>211</v>
      </c>
      <c r="I6" s="8" t="n">
        <v>113</v>
      </c>
      <c r="J6" s="8" t="n">
        <v>48</v>
      </c>
      <c r="K6" s="8" t="n">
        <v>8</v>
      </c>
      <c r="L6" s="8" t="n">
        <v>14</v>
      </c>
      <c r="M6" s="8" t="n">
        <v>24</v>
      </c>
      <c r="N6" s="8" t="n">
        <v>0</v>
      </c>
      <c r="O6" s="8" t="n">
        <v>7</v>
      </c>
      <c r="P6" s="8" t="n">
        <v>914</v>
      </c>
      <c r="Q6" s="8" t="n">
        <v>13</v>
      </c>
      <c r="R6" s="8" t="n">
        <v>927</v>
      </c>
      <c r="S6" s="8" t="n">
        <v>1503</v>
      </c>
    </row>
    <row r="7" customFormat="false" ht="15" hidden="false" customHeight="false" outlineLevel="0" collapsed="false">
      <c r="A7" s="8" t="n">
        <v>2006</v>
      </c>
      <c r="B7" s="8" t="s">
        <v>138</v>
      </c>
      <c r="C7" s="8" t="s">
        <v>182</v>
      </c>
      <c r="D7" s="8" t="s">
        <v>183</v>
      </c>
      <c r="E7" s="8"/>
      <c r="F7" s="8" t="n">
        <v>398</v>
      </c>
      <c r="G7" s="8" t="n">
        <v>101</v>
      </c>
      <c r="H7" s="8" t="n">
        <v>258</v>
      </c>
      <c r="I7" s="8" t="n">
        <v>121</v>
      </c>
      <c r="J7" s="8" t="n">
        <v>43</v>
      </c>
      <c r="K7" s="8" t="n">
        <v>11</v>
      </c>
      <c r="L7" s="8" t="n">
        <v>10</v>
      </c>
      <c r="M7" s="8" t="n">
        <v>24</v>
      </c>
      <c r="N7" s="8" t="n">
        <v>0</v>
      </c>
      <c r="O7" s="8" t="n">
        <v>7</v>
      </c>
      <c r="P7" s="8" t="n">
        <v>973</v>
      </c>
      <c r="Q7" s="8" t="n">
        <v>14</v>
      </c>
      <c r="R7" s="8" t="n">
        <v>988</v>
      </c>
      <c r="S7" s="8" t="n">
        <v>1534</v>
      </c>
    </row>
    <row r="8" customFormat="false" ht="15" hidden="false" customHeight="false" outlineLevel="0" collapsed="false">
      <c r="A8" s="8" t="n">
        <v>2006</v>
      </c>
      <c r="B8" s="8" t="s">
        <v>138</v>
      </c>
      <c r="C8" s="8" t="s">
        <v>184</v>
      </c>
      <c r="D8" s="8" t="s">
        <v>185</v>
      </c>
      <c r="E8" s="8"/>
      <c r="F8" s="8" t="n">
        <v>386</v>
      </c>
      <c r="G8" s="8" t="n">
        <v>94</v>
      </c>
      <c r="H8" s="8" t="n">
        <v>245</v>
      </c>
      <c r="I8" s="8" t="n">
        <v>228</v>
      </c>
      <c r="J8" s="8" t="n">
        <v>47</v>
      </c>
      <c r="K8" s="8" t="n">
        <v>8</v>
      </c>
      <c r="L8" s="8" t="n">
        <v>10</v>
      </c>
      <c r="M8" s="8" t="n">
        <v>27</v>
      </c>
      <c r="N8" s="8" t="n">
        <v>0</v>
      </c>
      <c r="O8" s="8" t="n">
        <v>4</v>
      </c>
      <c r="P8" s="8" t="n">
        <v>1049</v>
      </c>
      <c r="Q8" s="8" t="n">
        <v>11</v>
      </c>
      <c r="R8" s="8" t="n">
        <v>1060</v>
      </c>
      <c r="S8" s="8" t="n">
        <v>1598</v>
      </c>
    </row>
    <row r="9" customFormat="false" ht="15" hidden="false" customHeight="false" outlineLevel="0" collapsed="false">
      <c r="A9" s="8" t="n">
        <v>2006</v>
      </c>
      <c r="B9" s="8" t="s">
        <v>138</v>
      </c>
      <c r="C9" s="8" t="s">
        <v>186</v>
      </c>
      <c r="D9" s="8" t="s">
        <v>187</v>
      </c>
      <c r="E9" s="8"/>
      <c r="F9" s="8" t="n">
        <v>219</v>
      </c>
      <c r="G9" s="8" t="n">
        <v>52</v>
      </c>
      <c r="H9" s="8" t="n">
        <v>196</v>
      </c>
      <c r="I9" s="8" t="n">
        <v>78</v>
      </c>
      <c r="J9" s="8" t="n">
        <v>40</v>
      </c>
      <c r="K9" s="8" t="n">
        <v>5</v>
      </c>
      <c r="L9" s="8" t="n">
        <v>10</v>
      </c>
      <c r="M9" s="8" t="n">
        <v>17</v>
      </c>
      <c r="N9" s="8" t="n">
        <v>0</v>
      </c>
      <c r="O9" s="8" t="n">
        <v>8</v>
      </c>
      <c r="P9" s="8" t="n">
        <v>625</v>
      </c>
      <c r="Q9" s="8" t="n">
        <v>7</v>
      </c>
      <c r="R9" s="8" t="n">
        <v>632</v>
      </c>
      <c r="S9" s="8" t="n">
        <v>943</v>
      </c>
    </row>
    <row r="10" customFormat="false" ht="15" hidden="false" customHeight="false" outlineLevel="0" collapsed="false">
      <c r="A10" s="8" t="n">
        <v>2006</v>
      </c>
      <c r="B10" s="8" t="s">
        <v>138</v>
      </c>
      <c r="C10" s="8" t="s">
        <v>188</v>
      </c>
      <c r="D10" s="8" t="s">
        <v>189</v>
      </c>
      <c r="E10" s="8"/>
      <c r="F10" s="8" t="n">
        <v>317</v>
      </c>
      <c r="G10" s="8" t="n">
        <v>118</v>
      </c>
      <c r="H10" s="8" t="n">
        <v>253</v>
      </c>
      <c r="I10" s="8" t="n">
        <v>189</v>
      </c>
      <c r="J10" s="8" t="n">
        <v>33</v>
      </c>
      <c r="K10" s="8" t="n">
        <v>6</v>
      </c>
      <c r="L10" s="8" t="n">
        <v>8</v>
      </c>
      <c r="M10" s="8" t="n">
        <v>21</v>
      </c>
      <c r="N10" s="8" t="n">
        <v>0</v>
      </c>
      <c r="O10" s="8" t="n">
        <v>8</v>
      </c>
      <c r="P10" s="8" t="n">
        <v>953</v>
      </c>
      <c r="Q10" s="8" t="n">
        <v>10</v>
      </c>
      <c r="R10" s="8" t="n">
        <v>966</v>
      </c>
      <c r="S10" s="8" t="n">
        <v>1296</v>
      </c>
    </row>
    <row r="11" customFormat="false" ht="15" hidden="false" customHeight="false" outlineLevel="0" collapsed="false">
      <c r="A11" s="8" t="n">
        <v>2006</v>
      </c>
      <c r="B11" s="8" t="s">
        <v>138</v>
      </c>
      <c r="C11" s="8" t="s">
        <v>190</v>
      </c>
      <c r="D11" s="8" t="s">
        <v>191</v>
      </c>
      <c r="E11" s="8"/>
      <c r="F11" s="8" t="n">
        <v>321</v>
      </c>
      <c r="G11" s="8" t="n">
        <v>50</v>
      </c>
      <c r="H11" s="8" t="n">
        <v>264</v>
      </c>
      <c r="I11" s="8" t="n">
        <v>102</v>
      </c>
      <c r="J11" s="8" t="n">
        <v>26</v>
      </c>
      <c r="K11" s="8" t="n">
        <v>6</v>
      </c>
      <c r="L11" s="8" t="n">
        <v>9</v>
      </c>
      <c r="M11" s="8" t="n">
        <v>14</v>
      </c>
      <c r="N11" s="8" t="n">
        <v>0</v>
      </c>
      <c r="O11" s="8" t="n">
        <v>5</v>
      </c>
      <c r="P11" s="8" t="n">
        <v>797</v>
      </c>
      <c r="Q11" s="8" t="n">
        <v>11</v>
      </c>
      <c r="R11" s="8" t="n">
        <v>808</v>
      </c>
      <c r="S11" s="8" t="n">
        <v>1029</v>
      </c>
    </row>
    <row r="12" customFormat="false" ht="15" hidden="false" customHeight="false" outlineLevel="0" collapsed="false">
      <c r="A12" s="8" t="n">
        <v>2006</v>
      </c>
      <c r="B12" s="8" t="s">
        <v>138</v>
      </c>
      <c r="C12" s="8" t="s">
        <v>192</v>
      </c>
      <c r="D12" s="8" t="s">
        <v>193</v>
      </c>
      <c r="E12" s="8"/>
      <c r="F12" s="8" t="n">
        <v>321</v>
      </c>
      <c r="G12" s="8" t="n">
        <v>112</v>
      </c>
      <c r="H12" s="8" t="n">
        <v>174</v>
      </c>
      <c r="I12" s="8" t="n">
        <v>234</v>
      </c>
      <c r="J12" s="8" t="n">
        <v>17</v>
      </c>
      <c r="K12" s="8" t="n">
        <v>7</v>
      </c>
      <c r="L12" s="8" t="n">
        <v>21</v>
      </c>
      <c r="M12" s="8" t="n">
        <v>19</v>
      </c>
      <c r="N12" s="8" t="n">
        <v>0</v>
      </c>
      <c r="O12" s="8" t="n">
        <v>4</v>
      </c>
      <c r="P12" s="8" t="n">
        <v>909</v>
      </c>
      <c r="Q12" s="8" t="n">
        <v>10</v>
      </c>
      <c r="R12" s="8" t="n">
        <v>919</v>
      </c>
      <c r="S12" s="8" t="n">
        <v>1082</v>
      </c>
    </row>
    <row r="13" customFormat="false" ht="15" hidden="false" customHeight="false" outlineLevel="0" collapsed="false">
      <c r="A13" s="8" t="n">
        <v>2006</v>
      </c>
      <c r="B13" s="8" t="s">
        <v>138</v>
      </c>
      <c r="C13" s="8" t="s">
        <v>194</v>
      </c>
      <c r="D13" s="8" t="s">
        <v>195</v>
      </c>
      <c r="E13" s="8"/>
      <c r="F13" s="8" t="n">
        <v>590</v>
      </c>
      <c r="G13" s="8" t="n">
        <v>54</v>
      </c>
      <c r="H13" s="8" t="n">
        <v>128</v>
      </c>
      <c r="I13" s="8" t="n">
        <v>57</v>
      </c>
      <c r="J13" s="8" t="n">
        <v>118</v>
      </c>
      <c r="K13" s="8" t="n">
        <v>8</v>
      </c>
      <c r="L13" s="8" t="n">
        <v>3</v>
      </c>
      <c r="M13" s="8" t="n">
        <v>18</v>
      </c>
      <c r="N13" s="8" t="n">
        <v>0</v>
      </c>
      <c r="O13" s="8" t="n">
        <v>4</v>
      </c>
      <c r="P13" s="8" t="n">
        <v>980</v>
      </c>
      <c r="Q13" s="8" t="n">
        <v>5</v>
      </c>
      <c r="R13" s="8" t="n">
        <v>985</v>
      </c>
      <c r="S13" s="8" t="n">
        <v>1614</v>
      </c>
    </row>
    <row r="14" customFormat="false" ht="15" hidden="false" customHeight="false" outlineLevel="0" collapsed="false">
      <c r="A14" s="8" t="n">
        <v>2006</v>
      </c>
      <c r="B14" s="8" t="s">
        <v>138</v>
      </c>
      <c r="C14" s="8" t="s">
        <v>196</v>
      </c>
      <c r="D14" s="8" t="s">
        <v>197</v>
      </c>
      <c r="E14" s="8"/>
      <c r="F14" s="8" t="n">
        <v>443</v>
      </c>
      <c r="G14" s="8" t="n">
        <v>71</v>
      </c>
      <c r="H14" s="8" t="n">
        <v>225</v>
      </c>
      <c r="I14" s="8" t="n">
        <v>190</v>
      </c>
      <c r="J14" s="8" t="n">
        <v>41</v>
      </c>
      <c r="K14" s="8" t="n">
        <v>9</v>
      </c>
      <c r="L14" s="8" t="n">
        <v>10</v>
      </c>
      <c r="M14" s="8" t="n">
        <v>23</v>
      </c>
      <c r="N14" s="8" t="n">
        <v>0</v>
      </c>
      <c r="O14" s="8" t="n">
        <v>12</v>
      </c>
      <c r="P14" s="8" t="n">
        <v>1024</v>
      </c>
      <c r="Q14" s="8" t="n">
        <v>8</v>
      </c>
      <c r="R14" s="8" t="n">
        <v>1033</v>
      </c>
      <c r="S14" s="8" t="n">
        <v>1409</v>
      </c>
    </row>
    <row r="15" customFormat="false" ht="15" hidden="false" customHeight="false" outlineLevel="0" collapsed="false">
      <c r="A15" s="8" t="n">
        <v>2006</v>
      </c>
      <c r="B15" s="8" t="s">
        <v>138</v>
      </c>
      <c r="C15" s="8" t="s">
        <v>198</v>
      </c>
      <c r="D15" s="8" t="s">
        <v>199</v>
      </c>
      <c r="E15" s="8"/>
      <c r="F15" s="8" t="n">
        <v>452</v>
      </c>
      <c r="G15" s="8" t="n">
        <v>111</v>
      </c>
      <c r="H15" s="8" t="n">
        <v>314</v>
      </c>
      <c r="I15" s="8" t="n">
        <v>414</v>
      </c>
      <c r="J15" s="8" t="n">
        <v>20</v>
      </c>
      <c r="K15" s="8" t="n">
        <v>13</v>
      </c>
      <c r="L15" s="8" t="n">
        <v>9</v>
      </c>
      <c r="M15" s="8" t="n">
        <v>14</v>
      </c>
      <c r="N15" s="8" t="n">
        <v>0</v>
      </c>
      <c r="O15" s="8" t="n">
        <v>8</v>
      </c>
      <c r="P15" s="8" t="n">
        <v>1355</v>
      </c>
      <c r="Q15" s="8" t="n">
        <v>14</v>
      </c>
      <c r="R15" s="8" t="n">
        <v>1370</v>
      </c>
      <c r="S15" s="8" t="n">
        <v>1563</v>
      </c>
    </row>
    <row r="16" customFormat="false" ht="15" hidden="false" customHeight="false" outlineLevel="0" collapsed="false">
      <c r="A16" s="8" t="n">
        <v>2006</v>
      </c>
      <c r="B16" s="8" t="s">
        <v>138</v>
      </c>
      <c r="C16" s="8" t="s">
        <v>200</v>
      </c>
      <c r="D16" s="8" t="s">
        <v>201</v>
      </c>
      <c r="E16" s="8"/>
      <c r="F16" s="8" t="n">
        <v>398</v>
      </c>
      <c r="G16" s="8" t="n">
        <v>87</v>
      </c>
      <c r="H16" s="8" t="n">
        <v>221</v>
      </c>
      <c r="I16" s="8" t="n">
        <v>357</v>
      </c>
      <c r="J16" s="8" t="n">
        <v>22</v>
      </c>
      <c r="K16" s="8" t="n">
        <v>8</v>
      </c>
      <c r="L16" s="8" t="n">
        <v>16</v>
      </c>
      <c r="M16" s="8" t="n">
        <v>11</v>
      </c>
      <c r="N16" s="8" t="n">
        <v>0</v>
      </c>
      <c r="O16" s="8" t="n">
        <v>15</v>
      </c>
      <c r="P16" s="8" t="n">
        <v>1135</v>
      </c>
      <c r="Q16" s="8" t="n">
        <v>8</v>
      </c>
      <c r="R16" s="8" t="n">
        <v>1143</v>
      </c>
      <c r="S16" s="8" t="n">
        <v>1334</v>
      </c>
    </row>
    <row r="17" customFormat="false" ht="15" hidden="false" customHeight="false" outlineLevel="0" collapsed="false">
      <c r="A17" s="8" t="n">
        <v>2006</v>
      </c>
      <c r="B17" s="8" t="s">
        <v>138</v>
      </c>
      <c r="C17" s="8" t="s">
        <v>202</v>
      </c>
      <c r="D17" s="8" t="s">
        <v>203</v>
      </c>
      <c r="E17" s="8"/>
      <c r="F17" s="8" t="n">
        <v>196</v>
      </c>
      <c r="G17" s="8" t="n">
        <v>172</v>
      </c>
      <c r="H17" s="8" t="n">
        <v>185</v>
      </c>
      <c r="I17" s="8" t="n">
        <v>683</v>
      </c>
      <c r="J17" s="8" t="n">
        <v>12</v>
      </c>
      <c r="K17" s="8" t="n">
        <v>9</v>
      </c>
      <c r="L17" s="8" t="n">
        <v>5</v>
      </c>
      <c r="M17" s="8" t="n">
        <v>10</v>
      </c>
      <c r="N17" s="8" t="n">
        <v>0</v>
      </c>
      <c r="O17" s="8" t="n">
        <v>4</v>
      </c>
      <c r="P17" s="8" t="n">
        <v>1276</v>
      </c>
      <c r="Q17" s="8" t="n">
        <v>6</v>
      </c>
      <c r="R17" s="8" t="n">
        <v>1282</v>
      </c>
      <c r="S17" s="8" t="n">
        <v>1400</v>
      </c>
    </row>
    <row r="18" customFormat="false" ht="15" hidden="false" customHeight="false" outlineLevel="0" collapsed="false">
      <c r="A18" s="8" t="n">
        <v>2006</v>
      </c>
      <c r="B18" s="8" t="s">
        <v>138</v>
      </c>
      <c r="C18" s="8" t="s">
        <v>204</v>
      </c>
      <c r="D18" s="8" t="s">
        <v>205</v>
      </c>
      <c r="E18" s="8"/>
      <c r="F18" s="8" t="n">
        <v>32</v>
      </c>
      <c r="G18" s="8" t="n">
        <v>64</v>
      </c>
      <c r="H18" s="8" t="n">
        <v>62</v>
      </c>
      <c r="I18" s="8" t="n">
        <v>74</v>
      </c>
      <c r="J18" s="8" t="n">
        <v>10</v>
      </c>
      <c r="K18" s="8" t="n">
        <v>18</v>
      </c>
      <c r="L18" s="8" t="n">
        <v>4</v>
      </c>
      <c r="M18" s="8" t="n">
        <v>5</v>
      </c>
      <c r="N18" s="8" t="n">
        <v>0</v>
      </c>
      <c r="O18" s="8" t="n">
        <v>0</v>
      </c>
      <c r="P18" s="8" t="n">
        <v>269</v>
      </c>
      <c r="Q18" s="8" t="n">
        <v>4</v>
      </c>
      <c r="R18" s="8" t="n">
        <v>273</v>
      </c>
      <c r="S18" s="8" t="n">
        <v>320</v>
      </c>
    </row>
    <row r="19" customFormat="false" ht="15" hidden="false" customHeight="false" outlineLevel="0" collapsed="false">
      <c r="A19" s="8" t="n">
        <v>2006</v>
      </c>
      <c r="B19" s="8" t="s">
        <v>138</v>
      </c>
      <c r="C19" s="8" t="s">
        <v>206</v>
      </c>
      <c r="D19" s="8" t="s">
        <v>207</v>
      </c>
      <c r="E19" s="8"/>
      <c r="F19" s="8" t="n">
        <v>196</v>
      </c>
      <c r="G19" s="8" t="n">
        <v>249</v>
      </c>
      <c r="H19" s="8" t="n">
        <v>295</v>
      </c>
      <c r="I19" s="8" t="n">
        <v>135</v>
      </c>
      <c r="J19" s="8" t="n">
        <v>18</v>
      </c>
      <c r="K19" s="8" t="n">
        <v>114</v>
      </c>
      <c r="L19" s="8" t="n">
        <v>11</v>
      </c>
      <c r="M19" s="8" t="n">
        <v>45</v>
      </c>
      <c r="N19" s="8" t="n">
        <v>0</v>
      </c>
      <c r="O19" s="8" t="n">
        <v>18</v>
      </c>
      <c r="P19" s="8" t="n">
        <v>1081</v>
      </c>
      <c r="Q19" s="8" t="n">
        <v>15</v>
      </c>
      <c r="R19" s="8" t="n">
        <v>1096</v>
      </c>
      <c r="S19" s="8" t="n">
        <v>1343</v>
      </c>
    </row>
    <row r="20" customFormat="false" ht="15" hidden="false" customHeight="false" outlineLevel="0" collapsed="false">
      <c r="A20" s="8" t="n">
        <v>2006</v>
      </c>
      <c r="B20" s="8" t="s">
        <v>138</v>
      </c>
      <c r="C20" s="8" t="s">
        <v>208</v>
      </c>
      <c r="D20" s="8" t="s">
        <v>209</v>
      </c>
      <c r="E20" s="8"/>
      <c r="F20" s="8" t="n">
        <v>465</v>
      </c>
      <c r="G20" s="8" t="n">
        <v>267</v>
      </c>
      <c r="H20" s="8" t="n">
        <v>441</v>
      </c>
      <c r="I20" s="8" t="n">
        <v>426</v>
      </c>
      <c r="J20" s="8" t="n">
        <v>8</v>
      </c>
      <c r="K20" s="8" t="n">
        <v>24</v>
      </c>
      <c r="L20" s="8" t="n">
        <v>19</v>
      </c>
      <c r="M20" s="8" t="n">
        <v>19</v>
      </c>
      <c r="N20" s="8" t="n">
        <v>0</v>
      </c>
      <c r="O20" s="8" t="n">
        <v>14</v>
      </c>
      <c r="P20" s="8" t="n">
        <v>1683</v>
      </c>
      <c r="Q20" s="8" t="n">
        <v>13</v>
      </c>
      <c r="R20" s="8" t="n">
        <v>1696</v>
      </c>
      <c r="S20" s="8" t="n">
        <v>1907</v>
      </c>
    </row>
    <row r="21" customFormat="false" ht="15" hidden="false" customHeight="false" outlineLevel="0" collapsed="false">
      <c r="A21" s="8" t="n">
        <v>2006</v>
      </c>
      <c r="B21" s="8" t="s">
        <v>138</v>
      </c>
      <c r="C21" s="8" t="s">
        <v>210</v>
      </c>
      <c r="D21" s="8" t="s">
        <v>211</v>
      </c>
      <c r="E21" s="8"/>
      <c r="F21" s="8" t="n">
        <v>327</v>
      </c>
      <c r="G21" s="8" t="n">
        <v>295</v>
      </c>
      <c r="H21" s="8" t="n">
        <v>402</v>
      </c>
      <c r="I21" s="8" t="n">
        <v>297</v>
      </c>
      <c r="J21" s="8" t="n">
        <v>22</v>
      </c>
      <c r="K21" s="8" t="n">
        <v>54</v>
      </c>
      <c r="L21" s="8" t="n">
        <v>18</v>
      </c>
      <c r="M21" s="8" t="n">
        <v>22</v>
      </c>
      <c r="N21" s="8" t="n">
        <v>0</v>
      </c>
      <c r="O21" s="8" t="n">
        <v>8</v>
      </c>
      <c r="P21" s="8" t="n">
        <v>1445</v>
      </c>
      <c r="Q21" s="8" t="n">
        <v>17</v>
      </c>
      <c r="R21" s="8" t="n">
        <v>1462</v>
      </c>
      <c r="S21" s="8" t="n">
        <v>1748</v>
      </c>
    </row>
    <row r="22" customFormat="false" ht="15" hidden="false" customHeight="false" outlineLevel="0" collapsed="false">
      <c r="A22" s="8" t="n">
        <v>2006</v>
      </c>
      <c r="B22" s="8" t="s">
        <v>138</v>
      </c>
      <c r="C22" s="8" t="s">
        <v>212</v>
      </c>
      <c r="D22" s="8" t="s">
        <v>213</v>
      </c>
      <c r="E22" s="8"/>
      <c r="F22" s="8" t="n">
        <v>261</v>
      </c>
      <c r="G22" s="8" t="n">
        <v>391</v>
      </c>
      <c r="H22" s="8" t="n">
        <v>222</v>
      </c>
      <c r="I22" s="8" t="n">
        <v>502</v>
      </c>
      <c r="J22" s="8" t="n">
        <v>17</v>
      </c>
      <c r="K22" s="8" t="n">
        <v>61</v>
      </c>
      <c r="L22" s="8" t="n">
        <v>60</v>
      </c>
      <c r="M22" s="8" t="n">
        <v>35</v>
      </c>
      <c r="N22" s="8" t="n">
        <v>0</v>
      </c>
      <c r="O22" s="8" t="n">
        <v>13</v>
      </c>
      <c r="P22" s="8" t="n">
        <v>1562</v>
      </c>
      <c r="Q22" s="8" t="n">
        <v>13</v>
      </c>
      <c r="R22" s="8" t="n">
        <v>1575</v>
      </c>
      <c r="S22" s="8" t="n">
        <v>1745</v>
      </c>
    </row>
    <row r="23" customFormat="false" ht="15" hidden="false" customHeight="false" outlineLevel="0" collapsed="false">
      <c r="A23" s="8" t="n">
        <v>2006</v>
      </c>
      <c r="B23" s="8" t="s">
        <v>138</v>
      </c>
      <c r="C23" s="8" t="s">
        <v>214</v>
      </c>
      <c r="D23" s="8" t="s">
        <v>215</v>
      </c>
      <c r="E23" s="8"/>
      <c r="F23" s="8" t="n">
        <v>226</v>
      </c>
      <c r="G23" s="8" t="n">
        <v>192</v>
      </c>
      <c r="H23" s="8" t="n">
        <v>220</v>
      </c>
      <c r="I23" s="8" t="n">
        <v>176</v>
      </c>
      <c r="J23" s="8" t="n">
        <v>34</v>
      </c>
      <c r="K23" s="8" t="n">
        <v>64</v>
      </c>
      <c r="L23" s="8" t="n">
        <v>15</v>
      </c>
      <c r="M23" s="8" t="n">
        <v>19</v>
      </c>
      <c r="N23" s="8" t="n">
        <v>0</v>
      </c>
      <c r="O23" s="8" t="n">
        <v>3</v>
      </c>
      <c r="P23" s="8" t="n">
        <v>949</v>
      </c>
      <c r="Q23" s="8" t="n">
        <v>11</v>
      </c>
      <c r="R23" s="8" t="n">
        <v>960</v>
      </c>
      <c r="S23" s="8" t="n">
        <v>1120</v>
      </c>
    </row>
    <row r="24" customFormat="false" ht="15" hidden="false" customHeight="false" outlineLevel="0" collapsed="false">
      <c r="A24" s="8" t="n">
        <v>2006</v>
      </c>
      <c r="B24" s="8" t="s">
        <v>138</v>
      </c>
      <c r="C24" s="8" t="s">
        <v>216</v>
      </c>
      <c r="D24" s="8" t="s">
        <v>217</v>
      </c>
      <c r="E24" s="8" t="s">
        <v>218</v>
      </c>
      <c r="F24" s="8" t="n">
        <v>35</v>
      </c>
      <c r="G24" s="8" t="n">
        <v>29</v>
      </c>
      <c r="H24" s="8" t="n">
        <v>20</v>
      </c>
      <c r="I24" s="8" t="n">
        <v>20</v>
      </c>
      <c r="J24" s="8" t="n">
        <v>14</v>
      </c>
      <c r="K24" s="8" t="n">
        <v>2</v>
      </c>
      <c r="L24" s="8" t="n">
        <v>3</v>
      </c>
      <c r="M24" s="8" t="n">
        <v>11</v>
      </c>
      <c r="N24" s="8" t="n">
        <v>0</v>
      </c>
      <c r="O24" s="8" t="n">
        <v>2</v>
      </c>
      <c r="P24" s="8" t="n">
        <v>136</v>
      </c>
      <c r="Q24" s="8" t="n">
        <v>8</v>
      </c>
      <c r="R24" s="8" t="n">
        <v>144</v>
      </c>
      <c r="S24" s="8" t="n">
        <v>0</v>
      </c>
    </row>
    <row r="25" customFormat="false" ht="15" hidden="false" customHeight="false" outlineLevel="0" collapsed="false">
      <c r="A25" s="8" t="n">
        <v>2006</v>
      </c>
      <c r="B25" s="8" t="s">
        <v>140</v>
      </c>
      <c r="C25" s="8" t="s">
        <v>172</v>
      </c>
      <c r="D25" s="8" t="s">
        <v>173</v>
      </c>
      <c r="E25" s="8"/>
      <c r="F25" s="8" t="n">
        <v>447</v>
      </c>
      <c r="G25" s="8" t="n">
        <v>374</v>
      </c>
      <c r="H25" s="8" t="n">
        <v>116</v>
      </c>
      <c r="I25" s="8" t="n">
        <v>209</v>
      </c>
      <c r="J25" s="8" t="n">
        <v>69</v>
      </c>
      <c r="K25" s="8" t="n">
        <v>30</v>
      </c>
      <c r="L25" s="8" t="n">
        <v>21</v>
      </c>
      <c r="M25" s="8" t="n">
        <v>50</v>
      </c>
      <c r="N25" s="8" t="n">
        <v>0</v>
      </c>
      <c r="O25" s="8" t="n">
        <v>39</v>
      </c>
      <c r="P25" s="8" t="n">
        <v>1355</v>
      </c>
      <c r="Q25" s="8" t="n">
        <v>20</v>
      </c>
      <c r="R25" s="8" t="n">
        <v>1375</v>
      </c>
      <c r="S25" s="8" t="n">
        <v>1875</v>
      </c>
    </row>
    <row r="26" customFormat="false" ht="15" hidden="false" customHeight="false" outlineLevel="0" collapsed="false">
      <c r="A26" s="8" t="n">
        <v>2006</v>
      </c>
      <c r="B26" s="8" t="s">
        <v>140</v>
      </c>
      <c r="C26" s="8" t="s">
        <v>174</v>
      </c>
      <c r="D26" s="8" t="s">
        <v>175</v>
      </c>
      <c r="E26" s="8"/>
      <c r="F26" s="8" t="n">
        <v>405</v>
      </c>
      <c r="G26" s="8" t="n">
        <v>226</v>
      </c>
      <c r="H26" s="8" t="n">
        <v>88</v>
      </c>
      <c r="I26" s="8" t="n">
        <v>145</v>
      </c>
      <c r="J26" s="8" t="n">
        <v>53</v>
      </c>
      <c r="K26" s="8" t="n">
        <v>18</v>
      </c>
      <c r="L26" s="8" t="n">
        <v>18</v>
      </c>
      <c r="M26" s="8" t="n">
        <v>48</v>
      </c>
      <c r="N26" s="8" t="n">
        <v>0</v>
      </c>
      <c r="O26" s="8" t="n">
        <v>19</v>
      </c>
      <c r="P26" s="8" t="n">
        <v>1020</v>
      </c>
      <c r="Q26" s="8" t="n">
        <v>7</v>
      </c>
      <c r="R26" s="8" t="n">
        <v>1028</v>
      </c>
      <c r="S26" s="8" t="n">
        <v>1351</v>
      </c>
    </row>
    <row r="27" customFormat="false" ht="15" hidden="false" customHeight="false" outlineLevel="0" collapsed="false">
      <c r="A27" s="8" t="n">
        <v>2006</v>
      </c>
      <c r="B27" s="8" t="s">
        <v>140</v>
      </c>
      <c r="C27" s="8" t="s">
        <v>176</v>
      </c>
      <c r="D27" s="8" t="s">
        <v>177</v>
      </c>
      <c r="E27" s="8"/>
      <c r="F27" s="8" t="n">
        <v>430</v>
      </c>
      <c r="G27" s="8" t="n">
        <v>183</v>
      </c>
      <c r="H27" s="8" t="n">
        <v>84</v>
      </c>
      <c r="I27" s="8" t="n">
        <v>97</v>
      </c>
      <c r="J27" s="8" t="n">
        <v>51</v>
      </c>
      <c r="K27" s="8" t="n">
        <v>15</v>
      </c>
      <c r="L27" s="8" t="n">
        <v>30</v>
      </c>
      <c r="M27" s="8" t="n">
        <v>42</v>
      </c>
      <c r="N27" s="8" t="n">
        <v>0</v>
      </c>
      <c r="O27" s="8" t="n">
        <v>8</v>
      </c>
      <c r="P27" s="8" t="n">
        <v>940</v>
      </c>
      <c r="Q27" s="8" t="n">
        <v>11</v>
      </c>
      <c r="R27" s="8" t="n">
        <v>952</v>
      </c>
      <c r="S27" s="8" t="n">
        <v>1324</v>
      </c>
    </row>
    <row r="28" customFormat="false" ht="15" hidden="false" customHeight="false" outlineLevel="0" collapsed="false">
      <c r="A28" s="8" t="n">
        <v>2006</v>
      </c>
      <c r="B28" s="8" t="s">
        <v>140</v>
      </c>
      <c r="C28" s="8" t="s">
        <v>178</v>
      </c>
      <c r="D28" s="8" t="s">
        <v>179</v>
      </c>
      <c r="E28" s="8"/>
      <c r="F28" s="8" t="n">
        <v>505</v>
      </c>
      <c r="G28" s="8" t="n">
        <v>158</v>
      </c>
      <c r="H28" s="8" t="n">
        <v>88</v>
      </c>
      <c r="I28" s="8" t="n">
        <v>86</v>
      </c>
      <c r="J28" s="8" t="n">
        <v>61</v>
      </c>
      <c r="K28" s="8" t="n">
        <v>23</v>
      </c>
      <c r="L28" s="8" t="n">
        <v>19</v>
      </c>
      <c r="M28" s="8" t="n">
        <v>38</v>
      </c>
      <c r="N28" s="8" t="n">
        <v>0</v>
      </c>
      <c r="O28" s="8" t="n">
        <v>31</v>
      </c>
      <c r="P28" s="8" t="n">
        <v>1009</v>
      </c>
      <c r="Q28" s="8" t="n">
        <v>15</v>
      </c>
      <c r="R28" s="8" t="n">
        <v>1024</v>
      </c>
      <c r="S28" s="8" t="n">
        <v>1495</v>
      </c>
    </row>
    <row r="29" customFormat="false" ht="15" hidden="false" customHeight="false" outlineLevel="0" collapsed="false">
      <c r="A29" s="8" t="n">
        <v>2006</v>
      </c>
      <c r="B29" s="8" t="s">
        <v>140</v>
      </c>
      <c r="C29" s="8" t="s">
        <v>180</v>
      </c>
      <c r="D29" s="8" t="s">
        <v>181</v>
      </c>
      <c r="E29" s="8"/>
      <c r="F29" s="8" t="n">
        <v>439</v>
      </c>
      <c r="G29" s="8" t="n">
        <v>182</v>
      </c>
      <c r="H29" s="8" t="n">
        <v>63</v>
      </c>
      <c r="I29" s="8" t="n">
        <v>73</v>
      </c>
      <c r="J29" s="8" t="n">
        <v>39</v>
      </c>
      <c r="K29" s="8" t="n">
        <v>16</v>
      </c>
      <c r="L29" s="8" t="n">
        <v>12</v>
      </c>
      <c r="M29" s="8" t="n">
        <v>23</v>
      </c>
      <c r="N29" s="8" t="n">
        <v>0</v>
      </c>
      <c r="O29" s="8" t="n">
        <v>27</v>
      </c>
      <c r="P29" s="8" t="n">
        <v>874</v>
      </c>
      <c r="Q29" s="8" t="n">
        <v>11</v>
      </c>
      <c r="R29" s="8" t="n">
        <v>885</v>
      </c>
      <c r="S29" s="8" t="n">
        <v>1329</v>
      </c>
    </row>
    <row r="30" customFormat="false" ht="15" hidden="false" customHeight="false" outlineLevel="0" collapsed="false">
      <c r="A30" s="8" t="n">
        <v>2006</v>
      </c>
      <c r="B30" s="8" t="s">
        <v>140</v>
      </c>
      <c r="C30" s="8" t="s">
        <v>182</v>
      </c>
      <c r="D30" s="8" t="s">
        <v>183</v>
      </c>
      <c r="E30" s="8"/>
      <c r="F30" s="8" t="n">
        <v>451</v>
      </c>
      <c r="G30" s="8" t="n">
        <v>157</v>
      </c>
      <c r="H30" s="8" t="n">
        <v>85</v>
      </c>
      <c r="I30" s="8" t="n">
        <v>90</v>
      </c>
      <c r="J30" s="8" t="n">
        <v>49</v>
      </c>
      <c r="K30" s="8" t="n">
        <v>15</v>
      </c>
      <c r="L30" s="8" t="n">
        <v>13</v>
      </c>
      <c r="M30" s="8" t="n">
        <v>34</v>
      </c>
      <c r="N30" s="8" t="n">
        <v>0</v>
      </c>
      <c r="O30" s="8" t="n">
        <v>24</v>
      </c>
      <c r="P30" s="8" t="n">
        <v>918</v>
      </c>
      <c r="Q30" s="8" t="n">
        <v>13</v>
      </c>
      <c r="R30" s="8" t="n">
        <v>932</v>
      </c>
      <c r="S30" s="8" t="n">
        <v>1345</v>
      </c>
    </row>
    <row r="31" customFormat="false" ht="15" hidden="false" customHeight="false" outlineLevel="0" collapsed="false">
      <c r="A31" s="8" t="n">
        <v>2006</v>
      </c>
      <c r="B31" s="8" t="s">
        <v>140</v>
      </c>
      <c r="C31" s="8" t="s">
        <v>184</v>
      </c>
      <c r="D31" s="8" t="s">
        <v>185</v>
      </c>
      <c r="E31" s="8"/>
      <c r="F31" s="8" t="n">
        <v>474</v>
      </c>
      <c r="G31" s="8" t="n">
        <v>183</v>
      </c>
      <c r="H31" s="8" t="n">
        <v>68</v>
      </c>
      <c r="I31" s="8" t="n">
        <v>126</v>
      </c>
      <c r="J31" s="8" t="n">
        <v>51</v>
      </c>
      <c r="K31" s="8" t="n">
        <v>21</v>
      </c>
      <c r="L31" s="8" t="n">
        <v>26</v>
      </c>
      <c r="M31" s="8" t="n">
        <v>40</v>
      </c>
      <c r="N31" s="8" t="n">
        <v>0</v>
      </c>
      <c r="O31" s="8" t="n">
        <v>27</v>
      </c>
      <c r="P31" s="8" t="n">
        <v>1016</v>
      </c>
      <c r="Q31" s="8" t="n">
        <v>16</v>
      </c>
      <c r="R31" s="8" t="n">
        <v>1033</v>
      </c>
      <c r="S31" s="8" t="n">
        <v>1447</v>
      </c>
    </row>
    <row r="32" customFormat="false" ht="15" hidden="false" customHeight="false" outlineLevel="0" collapsed="false">
      <c r="A32" s="8" t="n">
        <v>2006</v>
      </c>
      <c r="B32" s="8" t="s">
        <v>140</v>
      </c>
      <c r="C32" s="8" t="s">
        <v>186</v>
      </c>
      <c r="D32" s="8" t="s">
        <v>187</v>
      </c>
      <c r="E32" s="8"/>
      <c r="F32" s="8" t="n">
        <v>276</v>
      </c>
      <c r="G32" s="8" t="n">
        <v>88</v>
      </c>
      <c r="H32" s="8" t="n">
        <v>78</v>
      </c>
      <c r="I32" s="8" t="n">
        <v>49</v>
      </c>
      <c r="J32" s="8" t="n">
        <v>45</v>
      </c>
      <c r="K32" s="8" t="n">
        <v>4</v>
      </c>
      <c r="L32" s="8" t="n">
        <v>15</v>
      </c>
      <c r="M32" s="8" t="n">
        <v>23</v>
      </c>
      <c r="N32" s="8" t="n">
        <v>0</v>
      </c>
      <c r="O32" s="8" t="n">
        <v>17</v>
      </c>
      <c r="P32" s="8" t="n">
        <v>595</v>
      </c>
      <c r="Q32" s="8" t="n">
        <v>11</v>
      </c>
      <c r="R32" s="8" t="n">
        <v>608</v>
      </c>
      <c r="S32" s="8" t="n">
        <v>862</v>
      </c>
    </row>
    <row r="33" customFormat="false" ht="15" hidden="false" customHeight="false" outlineLevel="0" collapsed="false">
      <c r="A33" s="8" t="n">
        <v>2006</v>
      </c>
      <c r="B33" s="8" t="s">
        <v>140</v>
      </c>
      <c r="C33" s="8" t="s">
        <v>188</v>
      </c>
      <c r="D33" s="8" t="s">
        <v>189</v>
      </c>
      <c r="E33" s="8"/>
      <c r="F33" s="8" t="n">
        <v>401</v>
      </c>
      <c r="G33" s="8" t="n">
        <v>188</v>
      </c>
      <c r="H33" s="8" t="n">
        <v>106</v>
      </c>
      <c r="I33" s="8" t="n">
        <v>115</v>
      </c>
      <c r="J33" s="8" t="n">
        <v>42</v>
      </c>
      <c r="K33" s="8" t="n">
        <v>13</v>
      </c>
      <c r="L33" s="8" t="n">
        <v>12</v>
      </c>
      <c r="M33" s="8" t="n">
        <v>29</v>
      </c>
      <c r="N33" s="8" t="n">
        <v>0</v>
      </c>
      <c r="O33" s="8" t="n">
        <v>19</v>
      </c>
      <c r="P33" s="8" t="n">
        <v>925</v>
      </c>
      <c r="Q33" s="8" t="n">
        <v>15</v>
      </c>
      <c r="R33" s="8" t="n">
        <v>941</v>
      </c>
      <c r="S33" s="8" t="n">
        <v>1204</v>
      </c>
    </row>
    <row r="34" customFormat="false" ht="15" hidden="false" customHeight="false" outlineLevel="0" collapsed="false">
      <c r="A34" s="8" t="n">
        <v>2006</v>
      </c>
      <c r="B34" s="8" t="s">
        <v>140</v>
      </c>
      <c r="C34" s="8" t="s">
        <v>190</v>
      </c>
      <c r="D34" s="8" t="s">
        <v>191</v>
      </c>
      <c r="E34" s="8"/>
      <c r="F34" s="8" t="n">
        <v>422</v>
      </c>
      <c r="G34" s="8" t="n">
        <v>83</v>
      </c>
      <c r="H34" s="8" t="n">
        <v>107</v>
      </c>
      <c r="I34" s="8" t="n">
        <v>70</v>
      </c>
      <c r="J34" s="8" t="n">
        <v>30</v>
      </c>
      <c r="K34" s="8" t="n">
        <v>14</v>
      </c>
      <c r="L34" s="8" t="n">
        <v>9</v>
      </c>
      <c r="M34" s="8" t="n">
        <v>28</v>
      </c>
      <c r="N34" s="8" t="n">
        <v>0</v>
      </c>
      <c r="O34" s="8" t="n">
        <v>17</v>
      </c>
      <c r="P34" s="8" t="n">
        <v>780</v>
      </c>
      <c r="Q34" s="8" t="n">
        <v>14</v>
      </c>
      <c r="R34" s="8" t="n">
        <v>795</v>
      </c>
      <c r="S34" s="8" t="n">
        <v>994</v>
      </c>
    </row>
    <row r="35" customFormat="false" ht="15" hidden="false" customHeight="false" outlineLevel="0" collapsed="false">
      <c r="A35" s="8" t="n">
        <v>2006</v>
      </c>
      <c r="B35" s="8" t="s">
        <v>140</v>
      </c>
      <c r="C35" s="8" t="s">
        <v>192</v>
      </c>
      <c r="D35" s="8" t="s">
        <v>193</v>
      </c>
      <c r="E35" s="8"/>
      <c r="F35" s="8" t="n">
        <v>423</v>
      </c>
      <c r="G35" s="8" t="n">
        <v>182</v>
      </c>
      <c r="H35" s="8" t="n">
        <v>56</v>
      </c>
      <c r="I35" s="8" t="n">
        <v>124</v>
      </c>
      <c r="J35" s="8" t="n">
        <v>27</v>
      </c>
      <c r="K35" s="8" t="n">
        <v>9</v>
      </c>
      <c r="L35" s="8" t="n">
        <v>39</v>
      </c>
      <c r="M35" s="8" t="n">
        <v>25</v>
      </c>
      <c r="N35" s="8" t="n">
        <v>0</v>
      </c>
      <c r="O35" s="8" t="n">
        <v>9</v>
      </c>
      <c r="P35" s="8" t="n">
        <v>894</v>
      </c>
      <c r="Q35" s="8" t="n">
        <v>10</v>
      </c>
      <c r="R35" s="8" t="n">
        <v>904</v>
      </c>
      <c r="S35" s="8" t="n">
        <v>1050</v>
      </c>
    </row>
    <row r="36" customFormat="false" ht="15" hidden="false" customHeight="false" outlineLevel="0" collapsed="false">
      <c r="A36" s="8" t="n">
        <v>2006</v>
      </c>
      <c r="B36" s="8" t="s">
        <v>140</v>
      </c>
      <c r="C36" s="8" t="s">
        <v>194</v>
      </c>
      <c r="D36" s="8" t="s">
        <v>195</v>
      </c>
      <c r="E36" s="8"/>
      <c r="F36" s="8" t="n">
        <v>595</v>
      </c>
      <c r="G36" s="8" t="n">
        <v>57</v>
      </c>
      <c r="H36" s="8" t="n">
        <v>60</v>
      </c>
      <c r="I36" s="8" t="n">
        <v>37</v>
      </c>
      <c r="J36" s="8" t="n">
        <v>96</v>
      </c>
      <c r="K36" s="8" t="n">
        <v>13</v>
      </c>
      <c r="L36" s="8" t="n">
        <v>8</v>
      </c>
      <c r="M36" s="8" t="n">
        <v>21</v>
      </c>
      <c r="N36" s="8" t="n">
        <v>0</v>
      </c>
      <c r="O36" s="8" t="n">
        <v>12</v>
      </c>
      <c r="P36" s="8" t="n">
        <v>899</v>
      </c>
      <c r="Q36" s="8" t="n">
        <v>4</v>
      </c>
      <c r="R36" s="8" t="n">
        <v>904</v>
      </c>
      <c r="S36" s="8" t="n">
        <v>1362</v>
      </c>
    </row>
    <row r="37" customFormat="false" ht="15" hidden="false" customHeight="false" outlineLevel="0" collapsed="false">
      <c r="A37" s="8" t="n">
        <v>2006</v>
      </c>
      <c r="B37" s="8" t="s">
        <v>140</v>
      </c>
      <c r="C37" s="8" t="s">
        <v>196</v>
      </c>
      <c r="D37" s="8" t="s">
        <v>197</v>
      </c>
      <c r="E37" s="8"/>
      <c r="F37" s="8" t="n">
        <v>547</v>
      </c>
      <c r="G37" s="8" t="n">
        <v>137</v>
      </c>
      <c r="H37" s="8" t="n">
        <v>88</v>
      </c>
      <c r="I37" s="8" t="n">
        <v>88</v>
      </c>
      <c r="J37" s="8" t="n">
        <v>46</v>
      </c>
      <c r="K37" s="8" t="n">
        <v>20</v>
      </c>
      <c r="L37" s="8" t="n">
        <v>21</v>
      </c>
      <c r="M37" s="8" t="n">
        <v>22</v>
      </c>
      <c r="N37" s="8" t="n">
        <v>0</v>
      </c>
      <c r="O37" s="8" t="n">
        <v>23</v>
      </c>
      <c r="P37" s="8" t="n">
        <v>992</v>
      </c>
      <c r="Q37" s="8" t="n">
        <v>10</v>
      </c>
      <c r="R37" s="8" t="n">
        <v>1002</v>
      </c>
      <c r="S37" s="8" t="n">
        <v>1302</v>
      </c>
    </row>
    <row r="38" customFormat="false" ht="15" hidden="false" customHeight="false" outlineLevel="0" collapsed="false">
      <c r="A38" s="8" t="n">
        <v>2006</v>
      </c>
      <c r="B38" s="8" t="s">
        <v>140</v>
      </c>
      <c r="C38" s="8" t="s">
        <v>198</v>
      </c>
      <c r="D38" s="8" t="s">
        <v>199</v>
      </c>
      <c r="E38" s="8"/>
      <c r="F38" s="8" t="n">
        <v>622</v>
      </c>
      <c r="G38" s="8" t="n">
        <v>254</v>
      </c>
      <c r="H38" s="8" t="n">
        <v>99</v>
      </c>
      <c r="I38" s="8" t="n">
        <v>232</v>
      </c>
      <c r="J38" s="8" t="n">
        <v>32</v>
      </c>
      <c r="K38" s="8" t="n">
        <v>21</v>
      </c>
      <c r="L38" s="8" t="n">
        <v>27</v>
      </c>
      <c r="M38" s="8" t="n">
        <v>23</v>
      </c>
      <c r="N38" s="8" t="n">
        <v>0</v>
      </c>
      <c r="O38" s="8" t="n">
        <v>27</v>
      </c>
      <c r="P38" s="8" t="n">
        <v>1337</v>
      </c>
      <c r="Q38" s="8" t="n">
        <v>17</v>
      </c>
      <c r="R38" s="8" t="n">
        <v>1354</v>
      </c>
      <c r="S38" s="8" t="n">
        <v>1533</v>
      </c>
    </row>
    <row r="39" customFormat="false" ht="15" hidden="false" customHeight="false" outlineLevel="0" collapsed="false">
      <c r="A39" s="8" t="n">
        <v>2006</v>
      </c>
      <c r="B39" s="8" t="s">
        <v>140</v>
      </c>
      <c r="C39" s="8" t="s">
        <v>200</v>
      </c>
      <c r="D39" s="8" t="s">
        <v>201</v>
      </c>
      <c r="E39" s="8"/>
      <c r="F39" s="8" t="n">
        <v>545</v>
      </c>
      <c r="G39" s="8" t="n">
        <v>220</v>
      </c>
      <c r="H39" s="8" t="n">
        <v>78</v>
      </c>
      <c r="I39" s="8" t="n">
        <v>168</v>
      </c>
      <c r="J39" s="8" t="n">
        <v>30</v>
      </c>
      <c r="K39" s="8" t="n">
        <v>14</v>
      </c>
      <c r="L39" s="8" t="n">
        <v>27</v>
      </c>
      <c r="M39" s="8" t="n">
        <v>24</v>
      </c>
      <c r="N39" s="8" t="n">
        <v>0</v>
      </c>
      <c r="O39" s="8" t="n">
        <v>21</v>
      </c>
      <c r="P39" s="8" t="n">
        <v>1127</v>
      </c>
      <c r="Q39" s="8" t="n">
        <v>10</v>
      </c>
      <c r="R39" s="8" t="n">
        <v>1137</v>
      </c>
      <c r="S39" s="8" t="n">
        <v>1320</v>
      </c>
    </row>
    <row r="40" customFormat="false" ht="15" hidden="false" customHeight="false" outlineLevel="0" collapsed="false">
      <c r="A40" s="8" t="n">
        <v>2006</v>
      </c>
      <c r="B40" s="8" t="s">
        <v>140</v>
      </c>
      <c r="C40" s="8" t="s">
        <v>202</v>
      </c>
      <c r="D40" s="8" t="s">
        <v>203</v>
      </c>
      <c r="E40" s="8"/>
      <c r="F40" s="8" t="n">
        <v>267</v>
      </c>
      <c r="G40" s="8" t="n">
        <v>556</v>
      </c>
      <c r="H40" s="8" t="n">
        <v>61</v>
      </c>
      <c r="I40" s="8" t="n">
        <v>270</v>
      </c>
      <c r="J40" s="8" t="n">
        <v>13</v>
      </c>
      <c r="K40" s="8" t="n">
        <v>24</v>
      </c>
      <c r="L40" s="8" t="n">
        <v>42</v>
      </c>
      <c r="M40" s="8" t="n">
        <v>18</v>
      </c>
      <c r="N40" s="8" t="n">
        <v>0</v>
      </c>
      <c r="O40" s="8" t="n">
        <v>14</v>
      </c>
      <c r="P40" s="8" t="n">
        <v>1265</v>
      </c>
      <c r="Q40" s="8" t="n">
        <v>11</v>
      </c>
      <c r="R40" s="8" t="n">
        <v>1276</v>
      </c>
      <c r="S40" s="8" t="n">
        <v>1400</v>
      </c>
    </row>
    <row r="41" customFormat="false" ht="15" hidden="false" customHeight="false" outlineLevel="0" collapsed="false">
      <c r="A41" s="8" t="n">
        <v>2006</v>
      </c>
      <c r="B41" s="8" t="s">
        <v>140</v>
      </c>
      <c r="C41" s="8" t="s">
        <v>204</v>
      </c>
      <c r="D41" s="8" t="s">
        <v>205</v>
      </c>
      <c r="E41" s="8"/>
      <c r="F41" s="8" t="n">
        <v>43</v>
      </c>
      <c r="G41" s="8" t="n">
        <v>96</v>
      </c>
      <c r="H41" s="8" t="n">
        <v>23</v>
      </c>
      <c r="I41" s="8" t="n">
        <v>37</v>
      </c>
      <c r="J41" s="8" t="n">
        <v>14</v>
      </c>
      <c r="K41" s="8" t="n">
        <v>25</v>
      </c>
      <c r="L41" s="8" t="n">
        <v>18</v>
      </c>
      <c r="M41" s="8" t="n">
        <v>7</v>
      </c>
      <c r="N41" s="8" t="n">
        <v>0</v>
      </c>
      <c r="O41" s="8" t="n">
        <v>6</v>
      </c>
      <c r="P41" s="8" t="n">
        <v>269</v>
      </c>
      <c r="Q41" s="8" t="n">
        <v>5</v>
      </c>
      <c r="R41" s="8" t="n">
        <v>274</v>
      </c>
      <c r="S41" s="8" t="n">
        <v>328</v>
      </c>
    </row>
    <row r="42" customFormat="false" ht="15" hidden="false" customHeight="false" outlineLevel="0" collapsed="false">
      <c r="A42" s="8" t="n">
        <v>2006</v>
      </c>
      <c r="B42" s="8" t="s">
        <v>140</v>
      </c>
      <c r="C42" s="8" t="s">
        <v>206</v>
      </c>
      <c r="D42" s="8" t="s">
        <v>207</v>
      </c>
      <c r="E42" s="8"/>
      <c r="F42" s="8" t="n">
        <v>265</v>
      </c>
      <c r="G42" s="8" t="n">
        <v>353</v>
      </c>
      <c r="H42" s="8" t="n">
        <v>115</v>
      </c>
      <c r="I42" s="8" t="n">
        <v>112</v>
      </c>
      <c r="J42" s="8" t="n">
        <v>19</v>
      </c>
      <c r="K42" s="8" t="n">
        <v>98</v>
      </c>
      <c r="L42" s="8" t="n">
        <v>30</v>
      </c>
      <c r="M42" s="8" t="n">
        <v>43</v>
      </c>
      <c r="N42" s="8" t="n">
        <v>0</v>
      </c>
      <c r="O42" s="8" t="n">
        <v>34</v>
      </c>
      <c r="P42" s="8" t="n">
        <v>1069</v>
      </c>
      <c r="Q42" s="8" t="n">
        <v>14</v>
      </c>
      <c r="R42" s="8" t="n">
        <v>1083</v>
      </c>
      <c r="S42" s="8" t="n">
        <v>1305</v>
      </c>
    </row>
    <row r="43" customFormat="false" ht="15" hidden="false" customHeight="false" outlineLevel="0" collapsed="false">
      <c r="A43" s="8" t="n">
        <v>2006</v>
      </c>
      <c r="B43" s="8" t="s">
        <v>140</v>
      </c>
      <c r="C43" s="8" t="s">
        <v>208</v>
      </c>
      <c r="D43" s="8" t="s">
        <v>209</v>
      </c>
      <c r="E43" s="8"/>
      <c r="F43" s="8" t="n">
        <v>698</v>
      </c>
      <c r="G43" s="8" t="n">
        <v>484</v>
      </c>
      <c r="H43" s="8" t="n">
        <v>120</v>
      </c>
      <c r="I43" s="8" t="n">
        <v>203</v>
      </c>
      <c r="J43" s="8" t="n">
        <v>19</v>
      </c>
      <c r="K43" s="8" t="n">
        <v>37</v>
      </c>
      <c r="L43" s="8" t="n">
        <v>44</v>
      </c>
      <c r="M43" s="8" t="n">
        <v>26</v>
      </c>
      <c r="N43" s="8" t="n">
        <v>0</v>
      </c>
      <c r="O43" s="8" t="n">
        <v>23</v>
      </c>
      <c r="P43" s="8" t="n">
        <v>1654</v>
      </c>
      <c r="Q43" s="8" t="n">
        <v>22</v>
      </c>
      <c r="R43" s="8" t="n">
        <v>1677</v>
      </c>
      <c r="S43" s="8" t="n">
        <v>1886</v>
      </c>
    </row>
    <row r="44" customFormat="false" ht="15" hidden="false" customHeight="false" outlineLevel="0" collapsed="false">
      <c r="A44" s="8" t="n">
        <v>2006</v>
      </c>
      <c r="B44" s="8" t="s">
        <v>140</v>
      </c>
      <c r="C44" s="8" t="s">
        <v>210</v>
      </c>
      <c r="D44" s="8" t="s">
        <v>211</v>
      </c>
      <c r="E44" s="8"/>
      <c r="F44" s="8" t="n">
        <v>465</v>
      </c>
      <c r="G44" s="8" t="n">
        <v>432</v>
      </c>
      <c r="H44" s="8" t="n">
        <v>163</v>
      </c>
      <c r="I44" s="8" t="n">
        <v>153</v>
      </c>
      <c r="J44" s="8" t="n">
        <v>37</v>
      </c>
      <c r="K44" s="8" t="n">
        <v>73</v>
      </c>
      <c r="L44" s="8" t="n">
        <v>34</v>
      </c>
      <c r="M44" s="8" t="n">
        <v>29</v>
      </c>
      <c r="N44" s="8" t="n">
        <v>0</v>
      </c>
      <c r="O44" s="8" t="n">
        <v>31</v>
      </c>
      <c r="P44" s="8" t="n">
        <v>1417</v>
      </c>
      <c r="Q44" s="8" t="n">
        <v>25</v>
      </c>
      <c r="R44" s="8" t="n">
        <v>1442</v>
      </c>
      <c r="S44" s="8" t="n">
        <v>1694</v>
      </c>
    </row>
    <row r="45" customFormat="false" ht="15" hidden="false" customHeight="false" outlineLevel="0" collapsed="false">
      <c r="A45" s="8" t="n">
        <v>2006</v>
      </c>
      <c r="B45" s="8" t="s">
        <v>140</v>
      </c>
      <c r="C45" s="8" t="s">
        <v>212</v>
      </c>
      <c r="D45" s="8" t="s">
        <v>213</v>
      </c>
      <c r="E45" s="8"/>
      <c r="F45" s="8" t="n">
        <v>339</v>
      </c>
      <c r="G45" s="8" t="n">
        <v>624</v>
      </c>
      <c r="H45" s="8" t="n">
        <v>65</v>
      </c>
      <c r="I45" s="8" t="n">
        <v>216</v>
      </c>
      <c r="J45" s="8" t="n">
        <v>18</v>
      </c>
      <c r="K45" s="8" t="n">
        <v>85</v>
      </c>
      <c r="L45" s="8" t="n">
        <v>107</v>
      </c>
      <c r="M45" s="8" t="n">
        <v>47</v>
      </c>
      <c r="N45" s="8" t="n">
        <v>0</v>
      </c>
      <c r="O45" s="8" t="n">
        <v>39</v>
      </c>
      <c r="P45" s="8" t="n">
        <v>1540</v>
      </c>
      <c r="Q45" s="8" t="n">
        <v>15</v>
      </c>
      <c r="R45" s="8" t="n">
        <v>1555</v>
      </c>
      <c r="S45" s="8" t="n">
        <v>1722</v>
      </c>
    </row>
    <row r="46" customFormat="false" ht="15" hidden="false" customHeight="false" outlineLevel="0" collapsed="false">
      <c r="A46" s="8" t="n">
        <v>2006</v>
      </c>
      <c r="B46" s="8" t="s">
        <v>140</v>
      </c>
      <c r="C46" s="8" t="s">
        <v>214</v>
      </c>
      <c r="D46" s="8" t="s">
        <v>215</v>
      </c>
      <c r="E46" s="8"/>
      <c r="F46" s="8" t="n">
        <v>292</v>
      </c>
      <c r="G46" s="8" t="n">
        <v>280</v>
      </c>
      <c r="H46" s="8" t="n">
        <v>74</v>
      </c>
      <c r="I46" s="8" t="n">
        <v>82</v>
      </c>
      <c r="J46" s="8" t="n">
        <v>35</v>
      </c>
      <c r="K46" s="8" t="n">
        <v>88</v>
      </c>
      <c r="L46" s="8" t="n">
        <v>49</v>
      </c>
      <c r="M46" s="8" t="n">
        <v>22</v>
      </c>
      <c r="N46" s="8" t="n">
        <v>0</v>
      </c>
      <c r="O46" s="8" t="n">
        <v>11</v>
      </c>
      <c r="P46" s="8" t="n">
        <v>933</v>
      </c>
      <c r="Q46" s="8" t="n">
        <v>15</v>
      </c>
      <c r="R46" s="8" t="n">
        <v>948</v>
      </c>
      <c r="S46" s="8" t="n">
        <v>1100</v>
      </c>
    </row>
    <row r="47" customFormat="false" ht="15" hidden="false" customHeight="false" outlineLevel="0" collapsed="false">
      <c r="A47" s="8" t="n">
        <v>2006</v>
      </c>
      <c r="B47" s="8" t="s">
        <v>140</v>
      </c>
      <c r="C47" s="8" t="s">
        <v>216</v>
      </c>
      <c r="D47" s="8" t="s">
        <v>217</v>
      </c>
      <c r="E47" s="8" t="s">
        <v>218</v>
      </c>
      <c r="F47" s="8" t="n">
        <v>47</v>
      </c>
      <c r="G47" s="8" t="n">
        <v>84</v>
      </c>
      <c r="H47" s="8" t="n">
        <v>15</v>
      </c>
      <c r="I47" s="8" t="n">
        <v>27</v>
      </c>
      <c r="J47" s="8" t="n">
        <v>13</v>
      </c>
      <c r="K47" s="8" t="n">
        <v>11</v>
      </c>
      <c r="L47" s="8" t="n">
        <v>12</v>
      </c>
      <c r="M47" s="8" t="n">
        <v>11</v>
      </c>
      <c r="N47" s="8" t="n">
        <v>0</v>
      </c>
      <c r="O47" s="8" t="n">
        <v>8</v>
      </c>
      <c r="P47" s="8" t="n">
        <v>228</v>
      </c>
      <c r="Q47" s="8" t="n">
        <v>12</v>
      </c>
      <c r="R47" s="8" t="n">
        <v>240</v>
      </c>
      <c r="S47" s="8" t="n">
        <v>0</v>
      </c>
    </row>
    <row r="48" customFormat="false" ht="15" hidden="false" customHeight="false" outlineLevel="0" collapsed="false">
      <c r="A48" s="8" t="n">
        <v>2006</v>
      </c>
      <c r="B48" s="8" t="s">
        <v>139</v>
      </c>
      <c r="C48" s="8" t="s">
        <v>172</v>
      </c>
      <c r="D48" s="8" t="s">
        <v>173</v>
      </c>
      <c r="E48" s="8"/>
      <c r="F48" s="8" t="n">
        <v>447</v>
      </c>
      <c r="G48" s="8" t="n">
        <v>322</v>
      </c>
      <c r="H48" s="8" t="n">
        <v>149</v>
      </c>
      <c r="I48" s="8" t="n">
        <v>254</v>
      </c>
      <c r="J48" s="8" t="n">
        <v>79</v>
      </c>
      <c r="K48" s="8" t="n">
        <v>20</v>
      </c>
      <c r="L48" s="8" t="n">
        <v>19</v>
      </c>
      <c r="M48" s="8" t="n">
        <v>45</v>
      </c>
      <c r="N48" s="8" t="n">
        <v>0</v>
      </c>
      <c r="O48" s="8" t="n">
        <v>32</v>
      </c>
      <c r="P48" s="8" t="n">
        <v>1367</v>
      </c>
      <c r="Q48" s="8" t="n">
        <v>32</v>
      </c>
      <c r="R48" s="8" t="n">
        <v>1399</v>
      </c>
      <c r="S48" s="8" t="n">
        <v>1922</v>
      </c>
    </row>
    <row r="49" customFormat="false" ht="15" hidden="false" customHeight="false" outlineLevel="0" collapsed="false">
      <c r="A49" s="8" t="n">
        <v>2006</v>
      </c>
      <c r="B49" s="8" t="s">
        <v>139</v>
      </c>
      <c r="C49" s="8" t="s">
        <v>174</v>
      </c>
      <c r="D49" s="8" t="s">
        <v>175</v>
      </c>
      <c r="E49" s="8"/>
      <c r="F49" s="8" t="n">
        <v>415</v>
      </c>
      <c r="G49" s="8" t="n">
        <v>196</v>
      </c>
      <c r="H49" s="8" t="n">
        <v>118</v>
      </c>
      <c r="I49" s="8" t="n">
        <v>157</v>
      </c>
      <c r="J49" s="8" t="n">
        <v>47</v>
      </c>
      <c r="K49" s="8" t="n">
        <v>16</v>
      </c>
      <c r="L49" s="8" t="n">
        <v>23</v>
      </c>
      <c r="M49" s="8" t="n">
        <v>40</v>
      </c>
      <c r="N49" s="8" t="n">
        <v>0</v>
      </c>
      <c r="O49" s="8" t="n">
        <v>16</v>
      </c>
      <c r="P49" s="8" t="n">
        <v>1028</v>
      </c>
      <c r="Q49" s="8" t="n">
        <v>20</v>
      </c>
      <c r="R49" s="8" t="n">
        <v>1048</v>
      </c>
      <c r="S49" s="8" t="n">
        <v>1419</v>
      </c>
    </row>
    <row r="50" customFormat="false" ht="15" hidden="false" customHeight="false" outlineLevel="0" collapsed="false">
      <c r="A50" s="8" t="n">
        <v>2006</v>
      </c>
      <c r="B50" s="8" t="s">
        <v>139</v>
      </c>
      <c r="C50" s="8" t="s">
        <v>176</v>
      </c>
      <c r="D50" s="8" t="s">
        <v>177</v>
      </c>
      <c r="E50" s="8"/>
      <c r="F50" s="8" t="n">
        <v>443</v>
      </c>
      <c r="G50" s="8" t="n">
        <v>160</v>
      </c>
      <c r="H50" s="8" t="n">
        <v>121</v>
      </c>
      <c r="I50" s="8" t="n">
        <v>105</v>
      </c>
      <c r="J50" s="8" t="n">
        <v>50</v>
      </c>
      <c r="K50" s="8" t="n">
        <v>14</v>
      </c>
      <c r="L50" s="8" t="n">
        <v>22</v>
      </c>
      <c r="M50" s="8" t="n">
        <v>39</v>
      </c>
      <c r="N50" s="8" t="n">
        <v>0</v>
      </c>
      <c r="O50" s="8" t="n">
        <v>9</v>
      </c>
      <c r="P50" s="8" t="n">
        <v>963</v>
      </c>
      <c r="Q50" s="8" t="n">
        <v>15</v>
      </c>
      <c r="R50" s="8" t="n">
        <v>978</v>
      </c>
      <c r="S50" s="8" t="n">
        <v>1514</v>
      </c>
    </row>
    <row r="51" customFormat="false" ht="15" hidden="false" customHeight="false" outlineLevel="0" collapsed="false">
      <c r="A51" s="8" t="n">
        <v>2006</v>
      </c>
      <c r="B51" s="8" t="s">
        <v>139</v>
      </c>
      <c r="C51" s="8" t="s">
        <v>178</v>
      </c>
      <c r="D51" s="8" t="s">
        <v>179</v>
      </c>
      <c r="E51" s="8"/>
      <c r="F51" s="8" t="n">
        <v>535</v>
      </c>
      <c r="G51" s="8" t="n">
        <v>149</v>
      </c>
      <c r="H51" s="8" t="n">
        <v>105</v>
      </c>
      <c r="I51" s="8" t="n">
        <v>104</v>
      </c>
      <c r="J51" s="8" t="n">
        <v>65</v>
      </c>
      <c r="K51" s="8" t="n">
        <v>17</v>
      </c>
      <c r="L51" s="8" t="n">
        <v>18</v>
      </c>
      <c r="M51" s="8" t="n">
        <v>42</v>
      </c>
      <c r="N51" s="8" t="n">
        <v>0</v>
      </c>
      <c r="O51" s="8" t="n">
        <v>24</v>
      </c>
      <c r="P51" s="8" t="n">
        <v>1059</v>
      </c>
      <c r="Q51" s="8" t="n">
        <v>21</v>
      </c>
      <c r="R51" s="8" t="n">
        <v>1081</v>
      </c>
      <c r="S51" s="8" t="n">
        <v>1713</v>
      </c>
    </row>
    <row r="52" customFormat="false" ht="15" hidden="false" customHeight="false" outlineLevel="0" collapsed="false">
      <c r="A52" s="8" t="n">
        <v>2006</v>
      </c>
      <c r="B52" s="8" t="s">
        <v>139</v>
      </c>
      <c r="C52" s="8" t="s">
        <v>180</v>
      </c>
      <c r="D52" s="8" t="s">
        <v>181</v>
      </c>
      <c r="E52" s="8"/>
      <c r="F52" s="8" t="n">
        <v>433</v>
      </c>
      <c r="G52" s="8" t="n">
        <v>163</v>
      </c>
      <c r="H52" s="8" t="n">
        <v>100</v>
      </c>
      <c r="I52" s="8" t="n">
        <v>77</v>
      </c>
      <c r="J52" s="8" t="n">
        <v>59</v>
      </c>
      <c r="K52" s="8" t="n">
        <v>13</v>
      </c>
      <c r="L52" s="8" t="n">
        <v>16</v>
      </c>
      <c r="M52" s="8" t="n">
        <v>27</v>
      </c>
      <c r="N52" s="8" t="n">
        <v>0</v>
      </c>
      <c r="O52" s="8" t="n">
        <v>17</v>
      </c>
      <c r="P52" s="8" t="n">
        <v>905</v>
      </c>
      <c r="Q52" s="8" t="n">
        <v>17</v>
      </c>
      <c r="R52" s="8" t="n">
        <v>922</v>
      </c>
      <c r="S52" s="8" t="n">
        <v>1503</v>
      </c>
    </row>
    <row r="53" customFormat="false" ht="15" hidden="false" customHeight="false" outlineLevel="0" collapsed="false">
      <c r="A53" s="8" t="n">
        <v>2006</v>
      </c>
      <c r="B53" s="8" t="s">
        <v>139</v>
      </c>
      <c r="C53" s="8" t="s">
        <v>182</v>
      </c>
      <c r="D53" s="8" t="s">
        <v>183</v>
      </c>
      <c r="E53" s="8"/>
      <c r="F53" s="8" t="n">
        <v>461</v>
      </c>
      <c r="G53" s="8" t="n">
        <v>131</v>
      </c>
      <c r="H53" s="8" t="n">
        <v>127</v>
      </c>
      <c r="I53" s="8" t="n">
        <v>99</v>
      </c>
      <c r="J53" s="8" t="n">
        <v>52</v>
      </c>
      <c r="K53" s="8" t="n">
        <v>16</v>
      </c>
      <c r="L53" s="8" t="n">
        <v>13</v>
      </c>
      <c r="M53" s="8" t="n">
        <v>36</v>
      </c>
      <c r="N53" s="8" t="n">
        <v>0</v>
      </c>
      <c r="O53" s="8" t="n">
        <v>18</v>
      </c>
      <c r="P53" s="8" t="n">
        <v>953</v>
      </c>
      <c r="Q53" s="8" t="n">
        <v>21</v>
      </c>
      <c r="R53" s="8" t="n">
        <v>974</v>
      </c>
      <c r="S53" s="8" t="n">
        <v>1534</v>
      </c>
    </row>
    <row r="54" customFormat="false" ht="15" hidden="false" customHeight="false" outlineLevel="0" collapsed="false">
      <c r="A54" s="8" t="n">
        <v>2006</v>
      </c>
      <c r="B54" s="8" t="s">
        <v>139</v>
      </c>
      <c r="C54" s="8" t="s">
        <v>184</v>
      </c>
      <c r="D54" s="8" t="s">
        <v>185</v>
      </c>
      <c r="E54" s="8"/>
      <c r="F54" s="8" t="n">
        <v>468</v>
      </c>
      <c r="G54" s="8" t="n">
        <v>148</v>
      </c>
      <c r="H54" s="8" t="n">
        <v>103</v>
      </c>
      <c r="I54" s="8" t="n">
        <v>151</v>
      </c>
      <c r="J54" s="8" t="n">
        <v>64</v>
      </c>
      <c r="K54" s="8" t="n">
        <v>17</v>
      </c>
      <c r="L54" s="8" t="n">
        <v>23</v>
      </c>
      <c r="M54" s="8" t="n">
        <v>30</v>
      </c>
      <c r="N54" s="8" t="n">
        <v>0</v>
      </c>
      <c r="O54" s="8" t="n">
        <v>25</v>
      </c>
      <c r="P54" s="8" t="n">
        <v>1029</v>
      </c>
      <c r="Q54" s="8" t="n">
        <v>24</v>
      </c>
      <c r="R54" s="8" t="n">
        <v>1053</v>
      </c>
      <c r="S54" s="8" t="n">
        <v>1598</v>
      </c>
    </row>
    <row r="55" customFormat="false" ht="15" hidden="false" customHeight="false" outlineLevel="0" collapsed="false">
      <c r="A55" s="8" t="n">
        <v>2006</v>
      </c>
      <c r="B55" s="8" t="s">
        <v>139</v>
      </c>
      <c r="C55" s="8" t="s">
        <v>186</v>
      </c>
      <c r="D55" s="8" t="s">
        <v>187</v>
      </c>
      <c r="E55" s="8"/>
      <c r="F55" s="8" t="n">
        <v>271</v>
      </c>
      <c r="G55" s="8" t="n">
        <v>69</v>
      </c>
      <c r="H55" s="8" t="n">
        <v>112</v>
      </c>
      <c r="I55" s="8" t="n">
        <v>46</v>
      </c>
      <c r="J55" s="8" t="n">
        <v>45</v>
      </c>
      <c r="K55" s="8" t="n">
        <v>6</v>
      </c>
      <c r="L55" s="8" t="n">
        <v>15</v>
      </c>
      <c r="M55" s="8" t="n">
        <v>19</v>
      </c>
      <c r="N55" s="8" t="n">
        <v>0</v>
      </c>
      <c r="O55" s="8" t="n">
        <v>22</v>
      </c>
      <c r="P55" s="8" t="n">
        <v>605</v>
      </c>
      <c r="Q55" s="8" t="n">
        <v>16</v>
      </c>
      <c r="R55" s="8" t="n">
        <v>621</v>
      </c>
      <c r="S55" s="8" t="n">
        <v>943</v>
      </c>
    </row>
    <row r="56" customFormat="false" ht="15" hidden="false" customHeight="false" outlineLevel="0" collapsed="false">
      <c r="A56" s="8" t="n">
        <v>2006</v>
      </c>
      <c r="B56" s="8" t="s">
        <v>139</v>
      </c>
      <c r="C56" s="8" t="s">
        <v>188</v>
      </c>
      <c r="D56" s="8" t="s">
        <v>189</v>
      </c>
      <c r="E56" s="8"/>
      <c r="F56" s="8" t="n">
        <v>408</v>
      </c>
      <c r="G56" s="8" t="n">
        <v>157</v>
      </c>
      <c r="H56" s="8" t="n">
        <v>134</v>
      </c>
      <c r="I56" s="8" t="n">
        <v>118</v>
      </c>
      <c r="J56" s="8" t="n">
        <v>43</v>
      </c>
      <c r="K56" s="8" t="n">
        <v>13</v>
      </c>
      <c r="L56" s="8" t="n">
        <v>16</v>
      </c>
      <c r="M56" s="8" t="n">
        <v>26</v>
      </c>
      <c r="N56" s="8" t="n">
        <v>0</v>
      </c>
      <c r="O56" s="8" t="n">
        <v>14</v>
      </c>
      <c r="P56" s="8" t="n">
        <v>929</v>
      </c>
      <c r="Q56" s="8" t="n">
        <v>16</v>
      </c>
      <c r="R56" s="8" t="n">
        <v>947</v>
      </c>
      <c r="S56" s="8" t="n">
        <v>1296</v>
      </c>
    </row>
    <row r="57" customFormat="false" ht="15" hidden="false" customHeight="false" outlineLevel="0" collapsed="false">
      <c r="A57" s="8" t="n">
        <v>2006</v>
      </c>
      <c r="B57" s="8" t="s">
        <v>139</v>
      </c>
      <c r="C57" s="8" t="s">
        <v>190</v>
      </c>
      <c r="D57" s="8" t="s">
        <v>191</v>
      </c>
      <c r="E57" s="8"/>
      <c r="F57" s="8" t="n">
        <v>398</v>
      </c>
      <c r="G57" s="8" t="n">
        <v>73</v>
      </c>
      <c r="H57" s="8" t="n">
        <v>150</v>
      </c>
      <c r="I57" s="8" t="n">
        <v>79</v>
      </c>
      <c r="J57" s="8" t="n">
        <v>30</v>
      </c>
      <c r="K57" s="8" t="n">
        <v>10</v>
      </c>
      <c r="L57" s="8" t="n">
        <v>11</v>
      </c>
      <c r="M57" s="8" t="n">
        <v>18</v>
      </c>
      <c r="N57" s="8" t="n">
        <v>0</v>
      </c>
      <c r="O57" s="8" t="n">
        <v>14</v>
      </c>
      <c r="P57" s="8" t="n">
        <v>783</v>
      </c>
      <c r="Q57" s="8" t="n">
        <v>20</v>
      </c>
      <c r="R57" s="8" t="n">
        <v>803</v>
      </c>
      <c r="S57" s="8" t="n">
        <v>1029</v>
      </c>
    </row>
    <row r="58" customFormat="false" ht="15" hidden="false" customHeight="false" outlineLevel="0" collapsed="false">
      <c r="A58" s="8" t="n">
        <v>2006</v>
      </c>
      <c r="B58" s="8" t="s">
        <v>139</v>
      </c>
      <c r="C58" s="8" t="s">
        <v>192</v>
      </c>
      <c r="D58" s="8" t="s">
        <v>193</v>
      </c>
      <c r="E58" s="8"/>
      <c r="F58" s="8" t="n">
        <v>424</v>
      </c>
      <c r="G58" s="8" t="n">
        <v>176</v>
      </c>
      <c r="H58" s="8" t="n">
        <v>72</v>
      </c>
      <c r="I58" s="8" t="n">
        <v>125</v>
      </c>
      <c r="J58" s="8" t="n">
        <v>22</v>
      </c>
      <c r="K58" s="8" t="n">
        <v>12</v>
      </c>
      <c r="L58" s="8" t="n">
        <v>33</v>
      </c>
      <c r="M58" s="8" t="n">
        <v>21</v>
      </c>
      <c r="N58" s="8" t="n">
        <v>0</v>
      </c>
      <c r="O58" s="8" t="n">
        <v>13</v>
      </c>
      <c r="P58" s="8" t="n">
        <v>898</v>
      </c>
      <c r="Q58" s="8" t="n">
        <v>17</v>
      </c>
      <c r="R58" s="8" t="n">
        <v>915</v>
      </c>
      <c r="S58" s="8" t="n">
        <v>1082</v>
      </c>
    </row>
    <row r="59" customFormat="false" ht="15" hidden="false" customHeight="false" outlineLevel="0" collapsed="false">
      <c r="A59" s="8" t="n">
        <v>2006</v>
      </c>
      <c r="B59" s="8" t="s">
        <v>139</v>
      </c>
      <c r="C59" s="8" t="s">
        <v>194</v>
      </c>
      <c r="D59" s="8" t="s">
        <v>195</v>
      </c>
      <c r="E59" s="8"/>
      <c r="F59" s="8" t="n">
        <v>629</v>
      </c>
      <c r="G59" s="8" t="n">
        <v>60</v>
      </c>
      <c r="H59" s="8" t="n">
        <v>76</v>
      </c>
      <c r="I59" s="8" t="n">
        <v>41</v>
      </c>
      <c r="J59" s="8" t="n">
        <v>122</v>
      </c>
      <c r="K59" s="8" t="n">
        <v>11</v>
      </c>
      <c r="L59" s="8" t="n">
        <v>8</v>
      </c>
      <c r="M59" s="8" t="n">
        <v>18</v>
      </c>
      <c r="N59" s="8" t="n">
        <v>0</v>
      </c>
      <c r="O59" s="8" t="n">
        <v>11</v>
      </c>
      <c r="P59" s="8" t="n">
        <v>976</v>
      </c>
      <c r="Q59" s="8" t="n">
        <v>8</v>
      </c>
      <c r="R59" s="8" t="n">
        <v>984</v>
      </c>
      <c r="S59" s="8" t="n">
        <v>1614</v>
      </c>
    </row>
    <row r="60" customFormat="false" ht="15" hidden="false" customHeight="false" outlineLevel="0" collapsed="false">
      <c r="A60" s="8" t="n">
        <v>2006</v>
      </c>
      <c r="B60" s="8" t="s">
        <v>139</v>
      </c>
      <c r="C60" s="8" t="s">
        <v>196</v>
      </c>
      <c r="D60" s="8" t="s">
        <v>197</v>
      </c>
      <c r="E60" s="8"/>
      <c r="F60" s="8" t="n">
        <v>553</v>
      </c>
      <c r="G60" s="8" t="n">
        <v>120</v>
      </c>
      <c r="H60" s="8" t="n">
        <v>109</v>
      </c>
      <c r="I60" s="8" t="n">
        <v>109</v>
      </c>
      <c r="J60" s="8" t="n">
        <v>50</v>
      </c>
      <c r="K60" s="8" t="n">
        <v>16</v>
      </c>
      <c r="L60" s="8" t="n">
        <v>18</v>
      </c>
      <c r="M60" s="8" t="n">
        <v>23</v>
      </c>
      <c r="N60" s="8" t="n">
        <v>0</v>
      </c>
      <c r="O60" s="8" t="n">
        <v>21</v>
      </c>
      <c r="P60" s="8" t="n">
        <v>1019</v>
      </c>
      <c r="Q60" s="8" t="n">
        <v>11</v>
      </c>
      <c r="R60" s="8" t="n">
        <v>1030</v>
      </c>
      <c r="S60" s="8" t="n">
        <v>1409</v>
      </c>
    </row>
    <row r="61" customFormat="false" ht="15" hidden="false" customHeight="false" outlineLevel="0" collapsed="false">
      <c r="A61" s="8" t="n">
        <v>2006</v>
      </c>
      <c r="B61" s="8" t="s">
        <v>139</v>
      </c>
      <c r="C61" s="8" t="s">
        <v>198</v>
      </c>
      <c r="D61" s="8" t="s">
        <v>199</v>
      </c>
      <c r="E61" s="8"/>
      <c r="F61" s="8" t="n">
        <v>608</v>
      </c>
      <c r="G61" s="8" t="n">
        <v>220</v>
      </c>
      <c r="H61" s="8" t="n">
        <v>133</v>
      </c>
      <c r="I61" s="8" t="n">
        <v>259</v>
      </c>
      <c r="J61" s="8" t="n">
        <v>31</v>
      </c>
      <c r="K61" s="8" t="n">
        <v>21</v>
      </c>
      <c r="L61" s="8" t="n">
        <v>27</v>
      </c>
      <c r="M61" s="8" t="n">
        <v>19</v>
      </c>
      <c r="N61" s="8" t="n">
        <v>0</v>
      </c>
      <c r="O61" s="8" t="n">
        <v>19</v>
      </c>
      <c r="P61" s="8" t="n">
        <v>1337</v>
      </c>
      <c r="Q61" s="8" t="n">
        <v>25</v>
      </c>
      <c r="R61" s="8" t="n">
        <v>1362</v>
      </c>
      <c r="S61" s="8" t="n">
        <v>1563</v>
      </c>
    </row>
    <row r="62" customFormat="false" ht="15" hidden="false" customHeight="false" outlineLevel="0" collapsed="false">
      <c r="A62" s="8" t="n">
        <v>2006</v>
      </c>
      <c r="B62" s="8" t="s">
        <v>139</v>
      </c>
      <c r="C62" s="8" t="s">
        <v>200</v>
      </c>
      <c r="D62" s="8" t="s">
        <v>201</v>
      </c>
      <c r="E62" s="8"/>
      <c r="F62" s="8" t="n">
        <v>528</v>
      </c>
      <c r="G62" s="8" t="n">
        <v>191</v>
      </c>
      <c r="H62" s="8" t="n">
        <v>102</v>
      </c>
      <c r="I62" s="8" t="n">
        <v>193</v>
      </c>
      <c r="J62" s="8" t="n">
        <v>24</v>
      </c>
      <c r="K62" s="8" t="n">
        <v>20</v>
      </c>
      <c r="L62" s="8" t="n">
        <v>27</v>
      </c>
      <c r="M62" s="8" t="n">
        <v>20</v>
      </c>
      <c r="N62" s="8" t="n">
        <v>0</v>
      </c>
      <c r="O62" s="8" t="n">
        <v>20</v>
      </c>
      <c r="P62" s="8" t="n">
        <v>1125</v>
      </c>
      <c r="Q62" s="8" t="n">
        <v>14</v>
      </c>
      <c r="R62" s="8" t="n">
        <v>1139</v>
      </c>
      <c r="S62" s="8" t="n">
        <v>1334</v>
      </c>
    </row>
    <row r="63" customFormat="false" ht="15" hidden="false" customHeight="false" outlineLevel="0" collapsed="false">
      <c r="A63" s="8" t="n">
        <v>2006</v>
      </c>
      <c r="B63" s="8" t="s">
        <v>139</v>
      </c>
      <c r="C63" s="8" t="s">
        <v>202</v>
      </c>
      <c r="D63" s="8" t="s">
        <v>203</v>
      </c>
      <c r="E63" s="8"/>
      <c r="F63" s="8" t="n">
        <v>268</v>
      </c>
      <c r="G63" s="8" t="n">
        <v>463</v>
      </c>
      <c r="H63" s="8" t="n">
        <v>93</v>
      </c>
      <c r="I63" s="8" t="n">
        <v>345</v>
      </c>
      <c r="J63" s="8" t="n">
        <v>12</v>
      </c>
      <c r="K63" s="8" t="n">
        <v>21</v>
      </c>
      <c r="L63" s="8" t="n">
        <v>25</v>
      </c>
      <c r="M63" s="8" t="n">
        <v>13</v>
      </c>
      <c r="N63" s="8" t="n">
        <v>0</v>
      </c>
      <c r="O63" s="8" t="n">
        <v>17</v>
      </c>
      <c r="P63" s="8" t="n">
        <v>1257</v>
      </c>
      <c r="Q63" s="8" t="n">
        <v>18</v>
      </c>
      <c r="R63" s="8" t="n">
        <v>1276</v>
      </c>
      <c r="S63" s="8" t="n">
        <v>1400</v>
      </c>
    </row>
    <row r="64" customFormat="false" ht="15" hidden="false" customHeight="false" outlineLevel="0" collapsed="false">
      <c r="A64" s="8" t="n">
        <v>2006</v>
      </c>
      <c r="B64" s="8" t="s">
        <v>139</v>
      </c>
      <c r="C64" s="8" t="s">
        <v>204</v>
      </c>
      <c r="D64" s="8" t="s">
        <v>205</v>
      </c>
      <c r="E64" s="8"/>
      <c r="F64" s="8" t="n">
        <v>42</v>
      </c>
      <c r="G64" s="8" t="n">
        <v>79</v>
      </c>
      <c r="H64" s="8" t="n">
        <v>34</v>
      </c>
      <c r="I64" s="8" t="n">
        <v>47</v>
      </c>
      <c r="J64" s="8" t="n">
        <v>11</v>
      </c>
      <c r="K64" s="8" t="n">
        <v>25</v>
      </c>
      <c r="L64" s="8" t="n">
        <v>14</v>
      </c>
      <c r="M64" s="8" t="n">
        <v>9</v>
      </c>
      <c r="N64" s="8" t="n">
        <v>0</v>
      </c>
      <c r="O64" s="8" t="n">
        <v>4</v>
      </c>
      <c r="P64" s="8" t="n">
        <v>265</v>
      </c>
      <c r="Q64" s="8" t="n">
        <v>3</v>
      </c>
      <c r="R64" s="8" t="n">
        <v>269</v>
      </c>
      <c r="S64" s="8" t="n">
        <v>320</v>
      </c>
    </row>
    <row r="65" customFormat="false" ht="15" hidden="false" customHeight="false" outlineLevel="0" collapsed="false">
      <c r="A65" s="8" t="n">
        <v>2006</v>
      </c>
      <c r="B65" s="8" t="s">
        <v>139</v>
      </c>
      <c r="C65" s="8" t="s">
        <v>206</v>
      </c>
      <c r="D65" s="8" t="s">
        <v>207</v>
      </c>
      <c r="E65" s="8"/>
      <c r="F65" s="8" t="n">
        <v>253</v>
      </c>
      <c r="G65" s="8" t="n">
        <v>321</v>
      </c>
      <c r="H65" s="8" t="n">
        <v>165</v>
      </c>
      <c r="I65" s="8" t="n">
        <v>114</v>
      </c>
      <c r="J65" s="8" t="n">
        <v>27</v>
      </c>
      <c r="K65" s="8" t="n">
        <v>92</v>
      </c>
      <c r="L65" s="8" t="n">
        <v>27</v>
      </c>
      <c r="M65" s="8" t="n">
        <v>43</v>
      </c>
      <c r="N65" s="8" t="n">
        <v>0</v>
      </c>
      <c r="O65" s="8" t="n">
        <v>33</v>
      </c>
      <c r="P65" s="8" t="n">
        <v>1075</v>
      </c>
      <c r="Q65" s="8" t="n">
        <v>21</v>
      </c>
      <c r="R65" s="8" t="n">
        <v>1096</v>
      </c>
      <c r="S65" s="8" t="n">
        <v>1343</v>
      </c>
    </row>
    <row r="66" customFormat="false" ht="15" hidden="false" customHeight="false" outlineLevel="0" collapsed="false">
      <c r="A66" s="8" t="n">
        <v>2006</v>
      </c>
      <c r="B66" s="8" t="s">
        <v>139</v>
      </c>
      <c r="C66" s="8" t="s">
        <v>208</v>
      </c>
      <c r="D66" s="8" t="s">
        <v>209</v>
      </c>
      <c r="E66" s="8"/>
      <c r="F66" s="8" t="n">
        <v>672</v>
      </c>
      <c r="G66" s="8" t="n">
        <v>423</v>
      </c>
      <c r="H66" s="8" t="n">
        <v>176</v>
      </c>
      <c r="I66" s="8" t="n">
        <v>248</v>
      </c>
      <c r="J66" s="8" t="n">
        <v>21</v>
      </c>
      <c r="K66" s="8" t="n">
        <v>37</v>
      </c>
      <c r="L66" s="8" t="n">
        <v>33</v>
      </c>
      <c r="M66" s="8" t="n">
        <v>17</v>
      </c>
      <c r="N66" s="8" t="n">
        <v>0</v>
      </c>
      <c r="O66" s="8" t="n">
        <v>22</v>
      </c>
      <c r="P66" s="8" t="n">
        <v>1649</v>
      </c>
      <c r="Q66" s="8" t="n">
        <v>25</v>
      </c>
      <c r="R66" s="8" t="n">
        <v>1674</v>
      </c>
      <c r="S66" s="8" t="n">
        <v>1907</v>
      </c>
    </row>
    <row r="67" customFormat="false" ht="15" hidden="false" customHeight="false" outlineLevel="0" collapsed="false">
      <c r="A67" s="8" t="n">
        <v>2006</v>
      </c>
      <c r="B67" s="8" t="s">
        <v>139</v>
      </c>
      <c r="C67" s="8" t="s">
        <v>210</v>
      </c>
      <c r="D67" s="8" t="s">
        <v>211</v>
      </c>
      <c r="E67" s="8"/>
      <c r="F67" s="8" t="n">
        <v>441</v>
      </c>
      <c r="G67" s="8" t="n">
        <v>394</v>
      </c>
      <c r="H67" s="8" t="n">
        <v>217</v>
      </c>
      <c r="I67" s="8" t="n">
        <v>178</v>
      </c>
      <c r="J67" s="8" t="n">
        <v>34</v>
      </c>
      <c r="K67" s="8" t="n">
        <v>74</v>
      </c>
      <c r="L67" s="8" t="n">
        <v>34</v>
      </c>
      <c r="M67" s="8" t="n">
        <v>28</v>
      </c>
      <c r="N67" s="8" t="n">
        <v>0</v>
      </c>
      <c r="O67" s="8" t="n">
        <v>22</v>
      </c>
      <c r="P67" s="8" t="n">
        <v>1422</v>
      </c>
      <c r="Q67" s="8" t="n">
        <v>30</v>
      </c>
      <c r="R67" s="8" t="n">
        <v>1452</v>
      </c>
      <c r="S67" s="8" t="n">
        <v>1748</v>
      </c>
    </row>
    <row r="68" customFormat="false" ht="15" hidden="false" customHeight="false" outlineLevel="0" collapsed="false">
      <c r="A68" s="8" t="n">
        <v>2006</v>
      </c>
      <c r="B68" s="8" t="s">
        <v>139</v>
      </c>
      <c r="C68" s="8" t="s">
        <v>212</v>
      </c>
      <c r="D68" s="8" t="s">
        <v>213</v>
      </c>
      <c r="E68" s="8"/>
      <c r="F68" s="8" t="n">
        <v>342</v>
      </c>
      <c r="G68" s="8" t="n">
        <v>567</v>
      </c>
      <c r="H68" s="8" t="n">
        <v>84</v>
      </c>
      <c r="I68" s="8" t="n">
        <v>298</v>
      </c>
      <c r="J68" s="8" t="n">
        <v>23</v>
      </c>
      <c r="K68" s="8" t="n">
        <v>64</v>
      </c>
      <c r="L68" s="8" t="n">
        <v>96</v>
      </c>
      <c r="M68" s="8" t="n">
        <v>39</v>
      </c>
      <c r="N68" s="8" t="n">
        <v>0</v>
      </c>
      <c r="O68" s="8" t="n">
        <v>30</v>
      </c>
      <c r="P68" s="8" t="n">
        <v>1543</v>
      </c>
      <c r="Q68" s="8" t="n">
        <v>25</v>
      </c>
      <c r="R68" s="8" t="n">
        <v>1568</v>
      </c>
      <c r="S68" s="8" t="n">
        <v>1745</v>
      </c>
    </row>
    <row r="69" customFormat="false" ht="15" hidden="false" customHeight="false" outlineLevel="0" collapsed="false">
      <c r="A69" s="8" t="n">
        <v>2006</v>
      </c>
      <c r="B69" s="8" t="s">
        <v>139</v>
      </c>
      <c r="C69" s="8" t="s">
        <v>214</v>
      </c>
      <c r="D69" s="8" t="s">
        <v>215</v>
      </c>
      <c r="E69" s="8"/>
      <c r="F69" s="8" t="n">
        <v>276</v>
      </c>
      <c r="G69" s="8" t="n">
        <v>248</v>
      </c>
      <c r="H69" s="8" t="n">
        <v>104</v>
      </c>
      <c r="I69" s="8" t="n">
        <v>106</v>
      </c>
      <c r="J69" s="8" t="n">
        <v>36</v>
      </c>
      <c r="K69" s="8" t="n">
        <v>82</v>
      </c>
      <c r="L69" s="8" t="n">
        <v>43</v>
      </c>
      <c r="M69" s="8" t="n">
        <v>21</v>
      </c>
      <c r="N69" s="8" t="n">
        <v>0</v>
      </c>
      <c r="O69" s="8" t="n">
        <v>21</v>
      </c>
      <c r="P69" s="8" t="n">
        <v>937</v>
      </c>
      <c r="Q69" s="8" t="n">
        <v>14</v>
      </c>
      <c r="R69" s="8" t="n">
        <v>951</v>
      </c>
      <c r="S69" s="8" t="n">
        <v>1120</v>
      </c>
    </row>
    <row r="70" customFormat="false" ht="15" hidden="false" customHeight="false" outlineLevel="0" collapsed="false">
      <c r="A70" s="8" t="n">
        <v>2006</v>
      </c>
      <c r="B70" s="8" t="s">
        <v>139</v>
      </c>
      <c r="C70" s="8" t="s">
        <v>216</v>
      </c>
      <c r="D70" s="8" t="s">
        <v>217</v>
      </c>
      <c r="E70" s="8" t="s">
        <v>218</v>
      </c>
      <c r="F70" s="8" t="n">
        <v>29</v>
      </c>
      <c r="G70" s="8" t="n">
        <v>36</v>
      </c>
      <c r="H70" s="8" t="n">
        <v>12</v>
      </c>
      <c r="I70" s="8" t="n">
        <v>16</v>
      </c>
      <c r="J70" s="8" t="n">
        <v>15</v>
      </c>
      <c r="K70" s="8" t="n">
        <v>5</v>
      </c>
      <c r="L70" s="8" t="n">
        <v>3</v>
      </c>
      <c r="M70" s="8" t="n">
        <v>8</v>
      </c>
      <c r="N70" s="8" t="n">
        <v>0</v>
      </c>
      <c r="O70" s="8" t="n">
        <v>4</v>
      </c>
      <c r="P70" s="8" t="n">
        <v>128</v>
      </c>
      <c r="Q70" s="8" t="n">
        <v>10</v>
      </c>
      <c r="R70" s="8" t="n">
        <v>138</v>
      </c>
      <c r="S70" s="8" t="n">
        <v>0</v>
      </c>
    </row>
    <row r="71" customFormat="false" ht="15" hidden="false" customHeight="false" outlineLevel="0" collapsed="false">
      <c r="A71" s="8" t="n">
        <v>2010</v>
      </c>
      <c r="B71" s="8" t="s">
        <v>138</v>
      </c>
      <c r="C71" s="8" t="s">
        <v>172</v>
      </c>
      <c r="D71" s="8" t="s">
        <v>45</v>
      </c>
      <c r="E71" s="8"/>
      <c r="F71" s="8" t="n">
        <v>343</v>
      </c>
      <c r="G71" s="8" t="n">
        <v>122</v>
      </c>
      <c r="H71" s="8" t="n">
        <v>151</v>
      </c>
      <c r="I71" s="8" t="n">
        <v>437</v>
      </c>
      <c r="J71" s="8" t="n">
        <v>66</v>
      </c>
      <c r="K71" s="8" t="n">
        <v>10</v>
      </c>
      <c r="L71" s="8" t="n">
        <v>6</v>
      </c>
      <c r="M71" s="8" t="n">
        <v>25</v>
      </c>
      <c r="N71" s="8" t="n">
        <v>0</v>
      </c>
      <c r="O71" s="8" t="n">
        <v>1</v>
      </c>
      <c r="P71" s="8" t="n">
        <v>1161</v>
      </c>
      <c r="Q71" s="8" t="n">
        <v>2</v>
      </c>
      <c r="R71" s="8" t="n">
        <v>1163</v>
      </c>
      <c r="S71" s="8" t="n">
        <v>1550</v>
      </c>
    </row>
    <row r="72" customFormat="false" ht="15" hidden="false" customHeight="false" outlineLevel="0" collapsed="false">
      <c r="A72" s="8" t="n">
        <v>2010</v>
      </c>
      <c r="B72" s="8" t="s">
        <v>138</v>
      </c>
      <c r="C72" s="8" t="s">
        <v>174</v>
      </c>
      <c r="D72" s="8" t="s">
        <v>47</v>
      </c>
      <c r="E72" s="8"/>
      <c r="F72" s="8" t="n">
        <v>386</v>
      </c>
      <c r="G72" s="8" t="n">
        <v>95</v>
      </c>
      <c r="H72" s="8" t="n">
        <v>175</v>
      </c>
      <c r="I72" s="8" t="n">
        <v>335</v>
      </c>
      <c r="J72" s="8" t="n">
        <v>54</v>
      </c>
      <c r="K72" s="8" t="n">
        <v>1</v>
      </c>
      <c r="L72" s="8" t="n">
        <v>9</v>
      </c>
      <c r="M72" s="8" t="n">
        <v>28</v>
      </c>
      <c r="N72" s="8" t="n">
        <v>0</v>
      </c>
      <c r="O72" s="8" t="n">
        <v>2</v>
      </c>
      <c r="P72" s="8" t="n">
        <v>1085</v>
      </c>
      <c r="Q72" s="8" t="n">
        <v>11</v>
      </c>
      <c r="R72" s="8" t="n">
        <v>1096</v>
      </c>
      <c r="S72" s="8" t="n">
        <v>1477</v>
      </c>
    </row>
    <row r="73" customFormat="false" ht="15" hidden="false" customHeight="false" outlineLevel="0" collapsed="false">
      <c r="A73" s="8" t="n">
        <v>2010</v>
      </c>
      <c r="B73" s="8" t="s">
        <v>138</v>
      </c>
      <c r="C73" s="8" t="s">
        <v>176</v>
      </c>
      <c r="D73" s="8" t="s">
        <v>49</v>
      </c>
      <c r="E73" s="8"/>
      <c r="F73" s="8" t="n">
        <v>455</v>
      </c>
      <c r="G73" s="8" t="n">
        <v>104</v>
      </c>
      <c r="H73" s="8" t="n">
        <v>137</v>
      </c>
      <c r="I73" s="8" t="n">
        <v>276</v>
      </c>
      <c r="J73" s="8" t="n">
        <v>63</v>
      </c>
      <c r="K73" s="8" t="n">
        <v>4</v>
      </c>
      <c r="L73" s="8" t="n">
        <v>7</v>
      </c>
      <c r="M73" s="8" t="n">
        <v>28</v>
      </c>
      <c r="N73" s="8" t="n">
        <v>0</v>
      </c>
      <c r="O73" s="8" t="n">
        <v>1</v>
      </c>
      <c r="P73" s="8" t="n">
        <v>1075</v>
      </c>
      <c r="Q73" s="8" t="n">
        <v>13</v>
      </c>
      <c r="R73" s="8" t="n">
        <v>1089</v>
      </c>
      <c r="S73" s="8" t="n">
        <v>1698</v>
      </c>
    </row>
    <row r="74" customFormat="false" ht="15" hidden="false" customHeight="false" outlineLevel="0" collapsed="false">
      <c r="A74" s="8" t="n">
        <v>2010</v>
      </c>
      <c r="B74" s="8" t="s">
        <v>138</v>
      </c>
      <c r="C74" s="8" t="s">
        <v>178</v>
      </c>
      <c r="D74" s="8" t="s">
        <v>51</v>
      </c>
      <c r="E74" s="8"/>
      <c r="F74" s="8" t="n">
        <v>512</v>
      </c>
      <c r="G74" s="8" t="n">
        <v>68</v>
      </c>
      <c r="H74" s="8" t="n">
        <v>169</v>
      </c>
      <c r="I74" s="8" t="n">
        <v>164</v>
      </c>
      <c r="J74" s="8" t="n">
        <v>112</v>
      </c>
      <c r="K74" s="8" t="n">
        <v>5</v>
      </c>
      <c r="L74" s="8" t="n">
        <v>6</v>
      </c>
      <c r="M74" s="8" t="n">
        <v>48</v>
      </c>
      <c r="N74" s="8" t="n">
        <v>0</v>
      </c>
      <c r="O74" s="8" t="n">
        <v>1</v>
      </c>
      <c r="P74" s="8" t="n">
        <v>1085</v>
      </c>
      <c r="Q74" s="8" t="n">
        <v>9</v>
      </c>
      <c r="R74" s="8" t="n">
        <v>1095</v>
      </c>
      <c r="S74" s="8" t="n">
        <v>1715</v>
      </c>
    </row>
    <row r="75" customFormat="false" ht="15" hidden="false" customHeight="false" outlineLevel="0" collapsed="false">
      <c r="A75" s="8" t="n">
        <v>2010</v>
      </c>
      <c r="B75" s="8" t="s">
        <v>138</v>
      </c>
      <c r="C75" s="8" t="s">
        <v>180</v>
      </c>
      <c r="D75" s="8" t="s">
        <v>53</v>
      </c>
      <c r="E75" s="8"/>
      <c r="F75" s="8" t="n">
        <v>491</v>
      </c>
      <c r="G75" s="8" t="n">
        <v>94</v>
      </c>
      <c r="H75" s="8" t="n">
        <v>136</v>
      </c>
      <c r="I75" s="8" t="n">
        <v>163</v>
      </c>
      <c r="J75" s="8" t="n">
        <v>71</v>
      </c>
      <c r="K75" s="8" t="n">
        <v>5</v>
      </c>
      <c r="L75" s="8" t="n">
        <v>6</v>
      </c>
      <c r="M75" s="8" t="n">
        <v>35</v>
      </c>
      <c r="N75" s="8" t="n">
        <v>0</v>
      </c>
      <c r="O75" s="8" t="n">
        <v>2</v>
      </c>
      <c r="P75" s="8" t="n">
        <v>1003</v>
      </c>
      <c r="Q75" s="8" t="n">
        <v>15</v>
      </c>
      <c r="R75" s="8" t="n">
        <v>1018</v>
      </c>
      <c r="S75" s="8" t="n">
        <v>1654</v>
      </c>
    </row>
    <row r="76" customFormat="false" ht="15" hidden="false" customHeight="false" outlineLevel="0" collapsed="false">
      <c r="A76" s="8" t="n">
        <v>2010</v>
      </c>
      <c r="B76" s="8" t="s">
        <v>138</v>
      </c>
      <c r="C76" s="8" t="s">
        <v>182</v>
      </c>
      <c r="D76" s="8" t="s">
        <v>55</v>
      </c>
      <c r="E76" s="8"/>
      <c r="F76" s="8" t="n">
        <v>453</v>
      </c>
      <c r="G76" s="8" t="n">
        <v>77</v>
      </c>
      <c r="H76" s="8" t="n">
        <v>171</v>
      </c>
      <c r="I76" s="8" t="n">
        <v>193</v>
      </c>
      <c r="J76" s="8" t="n">
        <v>70</v>
      </c>
      <c r="K76" s="8" t="n">
        <v>7</v>
      </c>
      <c r="L76" s="8" t="n">
        <v>5</v>
      </c>
      <c r="M76" s="8" t="n">
        <v>21</v>
      </c>
      <c r="N76" s="8" t="n">
        <v>0</v>
      </c>
      <c r="O76" s="8" t="n">
        <v>5</v>
      </c>
      <c r="P76" s="8" t="n">
        <v>1002</v>
      </c>
      <c r="Q76" s="8" t="n">
        <v>5</v>
      </c>
      <c r="R76" s="8" t="n">
        <v>1007</v>
      </c>
      <c r="S76" s="8" t="n">
        <v>1544</v>
      </c>
    </row>
    <row r="77" customFormat="false" ht="15" hidden="false" customHeight="false" outlineLevel="0" collapsed="false">
      <c r="A77" s="8" t="n">
        <v>2010</v>
      </c>
      <c r="B77" s="8" t="s">
        <v>138</v>
      </c>
      <c r="C77" s="8" t="s">
        <v>184</v>
      </c>
      <c r="D77" s="8" t="s">
        <v>57</v>
      </c>
      <c r="E77" s="8"/>
      <c r="F77" s="8" t="n">
        <v>475</v>
      </c>
      <c r="G77" s="8" t="n">
        <v>81</v>
      </c>
      <c r="H77" s="8" t="n">
        <v>179</v>
      </c>
      <c r="I77" s="8" t="n">
        <v>319</v>
      </c>
      <c r="J77" s="8" t="n">
        <v>66</v>
      </c>
      <c r="K77" s="8" t="n">
        <v>8</v>
      </c>
      <c r="L77" s="8" t="n">
        <v>6</v>
      </c>
      <c r="M77" s="8" t="n">
        <v>33</v>
      </c>
      <c r="N77" s="8" t="n">
        <v>0</v>
      </c>
      <c r="O77" s="8" t="n">
        <v>2</v>
      </c>
      <c r="P77" s="8" t="n">
        <v>1169</v>
      </c>
      <c r="Q77" s="8" t="n">
        <v>8</v>
      </c>
      <c r="R77" s="8" t="n">
        <v>1178</v>
      </c>
      <c r="S77" s="8" t="n">
        <v>1689</v>
      </c>
    </row>
    <row r="78" customFormat="false" ht="15" hidden="false" customHeight="false" outlineLevel="0" collapsed="false">
      <c r="A78" s="8" t="n">
        <v>2010</v>
      </c>
      <c r="B78" s="8" t="s">
        <v>138</v>
      </c>
      <c r="C78" s="8" t="s">
        <v>186</v>
      </c>
      <c r="D78" s="8" t="s">
        <v>59</v>
      </c>
      <c r="E78" s="8"/>
      <c r="F78" s="8" t="n">
        <v>448</v>
      </c>
      <c r="G78" s="8" t="n">
        <v>77</v>
      </c>
      <c r="H78" s="8" t="n">
        <v>226</v>
      </c>
      <c r="I78" s="8" t="n">
        <v>164</v>
      </c>
      <c r="J78" s="8" t="n">
        <v>54</v>
      </c>
      <c r="K78" s="8" t="n">
        <v>1</v>
      </c>
      <c r="L78" s="8" t="n">
        <v>4</v>
      </c>
      <c r="M78" s="8" t="n">
        <v>48</v>
      </c>
      <c r="N78" s="8" t="n">
        <v>0</v>
      </c>
      <c r="O78" s="8" t="n">
        <v>0</v>
      </c>
      <c r="P78" s="8" t="n">
        <v>1022</v>
      </c>
      <c r="Q78" s="8" t="n">
        <v>9</v>
      </c>
      <c r="R78" s="8" t="n">
        <v>1035</v>
      </c>
      <c r="S78" s="8" t="n">
        <v>1535</v>
      </c>
    </row>
    <row r="79" customFormat="false" ht="15" hidden="false" customHeight="false" outlineLevel="0" collapsed="false">
      <c r="A79" s="8" t="n">
        <v>2010</v>
      </c>
      <c r="B79" s="8" t="s">
        <v>138</v>
      </c>
      <c r="C79" s="8" t="s">
        <v>188</v>
      </c>
      <c r="D79" s="8" t="s">
        <v>61</v>
      </c>
      <c r="E79" s="8"/>
      <c r="F79" s="8" t="n">
        <v>379</v>
      </c>
      <c r="G79" s="8" t="n">
        <v>57</v>
      </c>
      <c r="H79" s="8" t="n">
        <v>208</v>
      </c>
      <c r="I79" s="8" t="n">
        <v>326</v>
      </c>
      <c r="J79" s="8" t="n">
        <v>32</v>
      </c>
      <c r="K79" s="8" t="n">
        <v>11</v>
      </c>
      <c r="L79" s="8" t="n">
        <v>7</v>
      </c>
      <c r="M79" s="8" t="n">
        <v>34</v>
      </c>
      <c r="N79" s="8" t="n">
        <v>0</v>
      </c>
      <c r="O79" s="8" t="n">
        <v>1</v>
      </c>
      <c r="P79" s="8" t="n">
        <v>1055</v>
      </c>
      <c r="Q79" s="8" t="n">
        <v>15</v>
      </c>
      <c r="R79" s="8" t="n">
        <v>1070</v>
      </c>
      <c r="S79" s="8" t="n">
        <v>1394</v>
      </c>
    </row>
    <row r="80" customFormat="false" ht="15" hidden="false" customHeight="false" outlineLevel="0" collapsed="false">
      <c r="A80" s="8" t="n">
        <v>2010</v>
      </c>
      <c r="B80" s="8" t="s">
        <v>138</v>
      </c>
      <c r="C80" s="8" t="s">
        <v>190</v>
      </c>
      <c r="D80" s="8" t="s">
        <v>63</v>
      </c>
      <c r="E80" s="8"/>
      <c r="F80" s="8" t="n">
        <v>395</v>
      </c>
      <c r="G80" s="8" t="n">
        <v>46</v>
      </c>
      <c r="H80" s="8" t="n">
        <v>191</v>
      </c>
      <c r="I80" s="8" t="n">
        <v>149</v>
      </c>
      <c r="J80" s="8" t="n">
        <v>31</v>
      </c>
      <c r="K80" s="8" t="n">
        <v>2</v>
      </c>
      <c r="L80" s="8" t="n">
        <v>3</v>
      </c>
      <c r="M80" s="8" t="n">
        <v>33</v>
      </c>
      <c r="N80" s="8" t="n">
        <v>0</v>
      </c>
      <c r="O80" s="8" t="n">
        <v>0</v>
      </c>
      <c r="P80" s="8" t="n">
        <v>850</v>
      </c>
      <c r="Q80" s="8" t="n">
        <v>9</v>
      </c>
      <c r="R80" s="8" t="n">
        <v>860</v>
      </c>
      <c r="S80" s="8" t="n">
        <v>1064</v>
      </c>
    </row>
    <row r="81" customFormat="false" ht="15" hidden="false" customHeight="false" outlineLevel="0" collapsed="false">
      <c r="A81" s="8" t="n">
        <v>2010</v>
      </c>
      <c r="B81" s="8" t="s">
        <v>138</v>
      </c>
      <c r="C81" s="8" t="s">
        <v>192</v>
      </c>
      <c r="D81" s="8" t="s">
        <v>65</v>
      </c>
      <c r="E81" s="8"/>
      <c r="F81" s="8" t="n">
        <v>393</v>
      </c>
      <c r="G81" s="8" t="n">
        <v>84</v>
      </c>
      <c r="H81" s="8" t="n">
        <v>123</v>
      </c>
      <c r="I81" s="8" t="n">
        <v>304</v>
      </c>
      <c r="J81" s="8" t="n">
        <v>22</v>
      </c>
      <c r="K81" s="8" t="n">
        <v>3</v>
      </c>
      <c r="L81" s="8" t="n">
        <v>5</v>
      </c>
      <c r="M81" s="8" t="n">
        <v>25</v>
      </c>
      <c r="N81" s="8" t="n">
        <v>0</v>
      </c>
      <c r="O81" s="8" t="n">
        <v>0</v>
      </c>
      <c r="P81" s="8" t="n">
        <v>959</v>
      </c>
      <c r="Q81" s="8" t="n">
        <v>1</v>
      </c>
      <c r="R81" s="8" t="n">
        <v>961</v>
      </c>
      <c r="S81" s="8" t="n">
        <v>1107</v>
      </c>
    </row>
    <row r="82" customFormat="false" ht="15" hidden="false" customHeight="false" outlineLevel="0" collapsed="false">
      <c r="A82" s="8" t="n">
        <v>2010</v>
      </c>
      <c r="B82" s="8" t="s">
        <v>138</v>
      </c>
      <c r="C82" s="8" t="s">
        <v>194</v>
      </c>
      <c r="D82" s="8" t="s">
        <v>67</v>
      </c>
      <c r="E82" s="8"/>
      <c r="F82" s="8" t="n">
        <v>592</v>
      </c>
      <c r="G82" s="8" t="n">
        <v>31</v>
      </c>
      <c r="H82" s="8" t="n">
        <v>75</v>
      </c>
      <c r="I82" s="8" t="n">
        <v>68</v>
      </c>
      <c r="J82" s="8" t="n">
        <v>164</v>
      </c>
      <c r="K82" s="8" t="n">
        <v>4</v>
      </c>
      <c r="L82" s="8" t="n">
        <v>4</v>
      </c>
      <c r="M82" s="8" t="n">
        <v>20</v>
      </c>
      <c r="N82" s="8" t="n">
        <v>0</v>
      </c>
      <c r="O82" s="8" t="n">
        <v>2</v>
      </c>
      <c r="P82" s="8" t="n">
        <v>960</v>
      </c>
      <c r="Q82" s="8" t="n">
        <v>8</v>
      </c>
      <c r="R82" s="8" t="n">
        <v>969</v>
      </c>
      <c r="S82" s="8" t="n">
        <v>1586</v>
      </c>
    </row>
    <row r="83" customFormat="false" ht="15" hidden="false" customHeight="false" outlineLevel="0" collapsed="false">
      <c r="A83" s="8" t="n">
        <v>2010</v>
      </c>
      <c r="B83" s="8" t="s">
        <v>138</v>
      </c>
      <c r="C83" s="8" t="s">
        <v>196</v>
      </c>
      <c r="D83" s="8" t="s">
        <v>69</v>
      </c>
      <c r="E83" s="8"/>
      <c r="F83" s="8" t="n">
        <v>504</v>
      </c>
      <c r="G83" s="8" t="n">
        <v>67</v>
      </c>
      <c r="H83" s="8" t="n">
        <v>119</v>
      </c>
      <c r="I83" s="8" t="n">
        <v>216</v>
      </c>
      <c r="J83" s="8" t="n">
        <v>55</v>
      </c>
      <c r="K83" s="8" t="n">
        <v>1</v>
      </c>
      <c r="L83" s="8" t="n">
        <v>8</v>
      </c>
      <c r="M83" s="8" t="n">
        <v>22</v>
      </c>
      <c r="N83" s="8" t="n">
        <v>0</v>
      </c>
      <c r="O83" s="8" t="n">
        <v>1</v>
      </c>
      <c r="P83" s="8" t="n">
        <v>993</v>
      </c>
      <c r="Q83" s="8" t="n">
        <v>11</v>
      </c>
      <c r="R83" s="8" t="n">
        <v>1006</v>
      </c>
      <c r="S83" s="8" t="n">
        <v>1360</v>
      </c>
    </row>
    <row r="84" customFormat="false" ht="15" hidden="false" customHeight="false" outlineLevel="0" collapsed="false">
      <c r="A84" s="8" t="n">
        <v>2010</v>
      </c>
      <c r="B84" s="8" t="s">
        <v>138</v>
      </c>
      <c r="C84" s="8" t="s">
        <v>198</v>
      </c>
      <c r="D84" s="8" t="s">
        <v>71</v>
      </c>
      <c r="E84" s="8"/>
      <c r="F84" s="8" t="n">
        <v>501</v>
      </c>
      <c r="G84" s="8" t="n">
        <v>122</v>
      </c>
      <c r="H84" s="8" t="n">
        <v>260</v>
      </c>
      <c r="I84" s="8" t="n">
        <v>746</v>
      </c>
      <c r="J84" s="8" t="n">
        <v>32</v>
      </c>
      <c r="K84" s="8" t="n">
        <v>12</v>
      </c>
      <c r="L84" s="8" t="n">
        <v>9</v>
      </c>
      <c r="M84" s="8" t="n">
        <v>35</v>
      </c>
      <c r="N84" s="8" t="n">
        <v>0</v>
      </c>
      <c r="O84" s="8" t="n">
        <v>1</v>
      </c>
      <c r="P84" s="8" t="n">
        <v>1718</v>
      </c>
      <c r="Q84" s="8" t="n">
        <v>14</v>
      </c>
      <c r="R84" s="8" t="n">
        <v>1732</v>
      </c>
      <c r="S84" s="8" t="n">
        <v>1962</v>
      </c>
    </row>
    <row r="85" customFormat="false" ht="15" hidden="false" customHeight="false" outlineLevel="0" collapsed="false">
      <c r="A85" s="8" t="n">
        <v>2010</v>
      </c>
      <c r="B85" s="8" t="s">
        <v>138</v>
      </c>
      <c r="C85" s="8" t="s">
        <v>200</v>
      </c>
      <c r="D85" s="8" t="s">
        <v>219</v>
      </c>
      <c r="E85" s="8"/>
      <c r="F85" s="8" t="n">
        <v>356</v>
      </c>
      <c r="G85" s="8" t="n">
        <v>71</v>
      </c>
      <c r="H85" s="8" t="n">
        <v>129</v>
      </c>
      <c r="I85" s="8" t="n">
        <v>266</v>
      </c>
      <c r="J85" s="8" t="n">
        <v>25</v>
      </c>
      <c r="K85" s="8" t="n">
        <v>6</v>
      </c>
      <c r="L85" s="8" t="n">
        <v>5</v>
      </c>
      <c r="M85" s="8" t="n">
        <v>18</v>
      </c>
      <c r="N85" s="8" t="n">
        <v>0</v>
      </c>
      <c r="O85" s="8" t="n">
        <v>2</v>
      </c>
      <c r="P85" s="8" t="n">
        <v>878</v>
      </c>
      <c r="Q85" s="8" t="n">
        <v>8</v>
      </c>
      <c r="R85" s="8" t="n">
        <v>888</v>
      </c>
      <c r="S85" s="8" t="n">
        <v>1024</v>
      </c>
    </row>
    <row r="86" customFormat="false" ht="15" hidden="false" customHeight="false" outlineLevel="0" collapsed="false">
      <c r="A86" s="8" t="n">
        <v>2010</v>
      </c>
      <c r="B86" s="8" t="s">
        <v>138</v>
      </c>
      <c r="C86" s="8" t="s">
        <v>202</v>
      </c>
      <c r="D86" s="8" t="s">
        <v>75</v>
      </c>
      <c r="E86" s="8"/>
      <c r="F86" s="8" t="n">
        <v>189</v>
      </c>
      <c r="G86" s="8" t="n">
        <v>119</v>
      </c>
      <c r="H86" s="8" t="n">
        <v>111</v>
      </c>
      <c r="I86" s="8" t="n">
        <v>837</v>
      </c>
      <c r="J86" s="8" t="n">
        <v>8</v>
      </c>
      <c r="K86" s="8" t="n">
        <v>16</v>
      </c>
      <c r="L86" s="8" t="n">
        <v>3</v>
      </c>
      <c r="M86" s="8" t="n">
        <v>21</v>
      </c>
      <c r="N86" s="8" t="n">
        <v>0</v>
      </c>
      <c r="O86" s="8" t="n">
        <v>1</v>
      </c>
      <c r="P86" s="8" t="n">
        <v>1305</v>
      </c>
      <c r="Q86" s="8" t="n">
        <v>5</v>
      </c>
      <c r="R86" s="8" t="n">
        <v>1311</v>
      </c>
      <c r="S86" s="8" t="n">
        <v>1435</v>
      </c>
    </row>
    <row r="87" customFormat="false" ht="15" hidden="false" customHeight="false" outlineLevel="0" collapsed="false">
      <c r="A87" s="8" t="n">
        <v>2010</v>
      </c>
      <c r="B87" s="8" t="s">
        <v>138</v>
      </c>
      <c r="C87" s="8" t="s">
        <v>204</v>
      </c>
      <c r="D87" s="8" t="s">
        <v>81</v>
      </c>
      <c r="E87" s="8"/>
      <c r="F87" s="8" t="n">
        <v>44</v>
      </c>
      <c r="G87" s="8" t="n">
        <v>59</v>
      </c>
      <c r="H87" s="8" t="n">
        <v>38</v>
      </c>
      <c r="I87" s="8" t="n">
        <v>79</v>
      </c>
      <c r="J87" s="8" t="n">
        <v>10</v>
      </c>
      <c r="K87" s="8" t="n">
        <v>22</v>
      </c>
      <c r="L87" s="8" t="n">
        <v>6</v>
      </c>
      <c r="M87" s="8" t="n">
        <v>13</v>
      </c>
      <c r="N87" s="8" t="n">
        <v>0</v>
      </c>
      <c r="O87" s="8" t="n">
        <v>0</v>
      </c>
      <c r="P87" s="8" t="n">
        <v>271</v>
      </c>
      <c r="Q87" s="8" t="n">
        <v>2</v>
      </c>
      <c r="R87" s="8" t="n">
        <v>273</v>
      </c>
      <c r="S87" s="8" t="n">
        <v>311</v>
      </c>
    </row>
    <row r="88" customFormat="false" ht="15" hidden="false" customHeight="false" outlineLevel="0" collapsed="false">
      <c r="A88" s="8" t="n">
        <v>2010</v>
      </c>
      <c r="B88" s="8" t="s">
        <v>138</v>
      </c>
      <c r="C88" s="8" t="s">
        <v>206</v>
      </c>
      <c r="D88" s="8" t="s">
        <v>220</v>
      </c>
      <c r="E88" s="8"/>
      <c r="F88" s="8" t="n">
        <v>217</v>
      </c>
      <c r="G88" s="8" t="n">
        <v>279</v>
      </c>
      <c r="H88" s="8" t="n">
        <v>274</v>
      </c>
      <c r="I88" s="8" t="n">
        <v>296</v>
      </c>
      <c r="J88" s="8" t="n">
        <v>18</v>
      </c>
      <c r="K88" s="8" t="n">
        <v>60</v>
      </c>
      <c r="L88" s="8" t="n">
        <v>10</v>
      </c>
      <c r="M88" s="8" t="n">
        <v>49</v>
      </c>
      <c r="N88" s="8" t="n">
        <v>0</v>
      </c>
      <c r="O88" s="8" t="n">
        <v>0</v>
      </c>
      <c r="P88" s="8" t="n">
        <v>1203</v>
      </c>
      <c r="Q88" s="8" t="n">
        <v>11</v>
      </c>
      <c r="R88" s="8" t="n">
        <v>1214</v>
      </c>
      <c r="S88" s="8" t="n">
        <v>1484</v>
      </c>
    </row>
    <row r="89" customFormat="false" ht="15" hidden="false" customHeight="false" outlineLevel="0" collapsed="false">
      <c r="A89" s="8" t="n">
        <v>2010</v>
      </c>
      <c r="B89" s="8" t="s">
        <v>138</v>
      </c>
      <c r="C89" s="8" t="s">
        <v>208</v>
      </c>
      <c r="D89" s="8" t="s">
        <v>221</v>
      </c>
      <c r="E89" s="8"/>
      <c r="F89" s="8" t="n">
        <v>420</v>
      </c>
      <c r="G89" s="8" t="n">
        <v>260</v>
      </c>
      <c r="H89" s="8" t="n">
        <v>302</v>
      </c>
      <c r="I89" s="8" t="n">
        <v>667</v>
      </c>
      <c r="J89" s="8" t="n">
        <v>28</v>
      </c>
      <c r="K89" s="8" t="n">
        <v>22</v>
      </c>
      <c r="L89" s="8" t="n">
        <v>12</v>
      </c>
      <c r="M89" s="8" t="n">
        <v>39</v>
      </c>
      <c r="N89" s="8" t="n">
        <v>0</v>
      </c>
      <c r="O89" s="8" t="n">
        <v>0</v>
      </c>
      <c r="P89" s="8" t="n">
        <v>1750</v>
      </c>
      <c r="Q89" s="8" t="n">
        <v>16</v>
      </c>
      <c r="R89" s="8" t="n">
        <v>1766</v>
      </c>
      <c r="S89" s="8" t="n">
        <v>1995</v>
      </c>
    </row>
    <row r="90" customFormat="false" ht="15" hidden="false" customHeight="false" outlineLevel="0" collapsed="false">
      <c r="A90" s="8" t="n">
        <v>2010</v>
      </c>
      <c r="B90" s="8" t="s">
        <v>138</v>
      </c>
      <c r="C90" s="8" t="s">
        <v>210</v>
      </c>
      <c r="D90" s="8" t="s">
        <v>89</v>
      </c>
      <c r="E90" s="8"/>
      <c r="F90" s="8" t="n">
        <v>343</v>
      </c>
      <c r="G90" s="8" t="n">
        <v>225</v>
      </c>
      <c r="H90" s="8" t="n">
        <v>345</v>
      </c>
      <c r="I90" s="8" t="n">
        <v>470</v>
      </c>
      <c r="J90" s="8" t="n">
        <v>22</v>
      </c>
      <c r="K90" s="8" t="n">
        <v>32</v>
      </c>
      <c r="L90" s="8" t="n">
        <v>9</v>
      </c>
      <c r="M90" s="8" t="n">
        <v>39</v>
      </c>
      <c r="N90" s="8" t="n">
        <v>0</v>
      </c>
      <c r="O90" s="8" t="n">
        <v>1</v>
      </c>
      <c r="P90" s="8" t="n">
        <v>1486</v>
      </c>
      <c r="Q90" s="8" t="n">
        <v>10</v>
      </c>
      <c r="R90" s="8" t="n">
        <v>1496</v>
      </c>
      <c r="S90" s="8" t="n">
        <v>1799</v>
      </c>
    </row>
    <row r="91" customFormat="false" ht="15" hidden="false" customHeight="false" outlineLevel="0" collapsed="false">
      <c r="A91" s="8" t="n">
        <v>2010</v>
      </c>
      <c r="B91" s="8" t="s">
        <v>138</v>
      </c>
      <c r="C91" s="8" t="s">
        <v>212</v>
      </c>
      <c r="D91" s="8" t="s">
        <v>222</v>
      </c>
      <c r="E91" s="8"/>
      <c r="F91" s="8" t="n">
        <v>252</v>
      </c>
      <c r="G91" s="8" t="n">
        <v>331</v>
      </c>
      <c r="H91" s="8" t="n">
        <v>179</v>
      </c>
      <c r="I91" s="8" t="n">
        <v>687</v>
      </c>
      <c r="J91" s="8" t="n">
        <v>20</v>
      </c>
      <c r="K91" s="8" t="n">
        <v>52</v>
      </c>
      <c r="L91" s="8" t="n">
        <v>34</v>
      </c>
      <c r="M91" s="8" t="n">
        <v>63</v>
      </c>
      <c r="N91" s="8" t="n">
        <v>0</v>
      </c>
      <c r="O91" s="8" t="n">
        <v>4</v>
      </c>
      <c r="P91" s="8" t="n">
        <v>1622</v>
      </c>
      <c r="Q91" s="8" t="n">
        <v>15</v>
      </c>
      <c r="R91" s="8" t="n">
        <v>1638</v>
      </c>
      <c r="S91" s="8" t="n">
        <v>1833</v>
      </c>
    </row>
    <row r="92" customFormat="false" ht="15" hidden="false" customHeight="false" outlineLevel="0" collapsed="false">
      <c r="A92" s="8" t="n">
        <v>2010</v>
      </c>
      <c r="B92" s="8" t="s">
        <v>138</v>
      </c>
      <c r="C92" s="8" t="s">
        <v>214</v>
      </c>
      <c r="D92" s="8" t="s">
        <v>91</v>
      </c>
      <c r="E92" s="8"/>
      <c r="F92" s="8" t="n">
        <v>269</v>
      </c>
      <c r="G92" s="8" t="n">
        <v>188</v>
      </c>
      <c r="H92" s="8" t="n">
        <v>213</v>
      </c>
      <c r="I92" s="8" t="n">
        <v>257</v>
      </c>
      <c r="J92" s="8" t="n">
        <v>28</v>
      </c>
      <c r="K92" s="8" t="n">
        <v>40</v>
      </c>
      <c r="L92" s="8" t="n">
        <v>14</v>
      </c>
      <c r="M92" s="8" t="n">
        <v>31</v>
      </c>
      <c r="N92" s="8" t="n">
        <v>0</v>
      </c>
      <c r="O92" s="8" t="n">
        <v>0</v>
      </c>
      <c r="P92" s="8" t="n">
        <v>1040</v>
      </c>
      <c r="Q92" s="8" t="n">
        <v>7</v>
      </c>
      <c r="R92" s="8" t="n">
        <v>1047</v>
      </c>
      <c r="S92" s="8" t="n">
        <v>1210</v>
      </c>
    </row>
    <row r="93" customFormat="false" ht="15" hidden="false" customHeight="false" outlineLevel="0" collapsed="false">
      <c r="A93" s="8" t="n">
        <v>2010</v>
      </c>
      <c r="B93" s="8" t="s">
        <v>138</v>
      </c>
      <c r="C93" s="8" t="s">
        <v>223</v>
      </c>
      <c r="D93" s="8" t="s">
        <v>224</v>
      </c>
      <c r="E93" s="8" t="s">
        <v>218</v>
      </c>
      <c r="F93" s="8" t="n">
        <v>56</v>
      </c>
      <c r="G93" s="8" t="n">
        <v>33</v>
      </c>
      <c r="H93" s="8" t="n">
        <v>23</v>
      </c>
      <c r="I93" s="8" t="n">
        <v>30</v>
      </c>
      <c r="J93" s="8" t="n">
        <v>7</v>
      </c>
      <c r="K93" s="8" t="n">
        <v>1</v>
      </c>
      <c r="L93" s="8" t="n">
        <v>0</v>
      </c>
      <c r="M93" s="8" t="n">
        <v>10</v>
      </c>
      <c r="N93" s="8" t="n">
        <v>0</v>
      </c>
      <c r="O93" s="8" t="n">
        <v>1</v>
      </c>
      <c r="P93" s="8" t="n">
        <v>161</v>
      </c>
      <c r="Q93" s="8" t="n">
        <v>7</v>
      </c>
      <c r="R93" s="8" t="n">
        <v>168</v>
      </c>
      <c r="S93" s="8" t="n">
        <v>0</v>
      </c>
    </row>
    <row r="94" customFormat="false" ht="15" hidden="false" customHeight="false" outlineLevel="0" collapsed="false">
      <c r="A94" s="8" t="n">
        <v>2010</v>
      </c>
      <c r="B94" s="8" t="s">
        <v>138</v>
      </c>
      <c r="C94" s="8" t="s">
        <v>225</v>
      </c>
      <c r="D94" s="8" t="s">
        <v>224</v>
      </c>
      <c r="E94" s="8" t="s">
        <v>218</v>
      </c>
      <c r="F94" s="8" t="n">
        <v>20</v>
      </c>
      <c r="G94" s="8" t="n">
        <v>15</v>
      </c>
      <c r="H94" s="8" t="n">
        <v>15</v>
      </c>
      <c r="I94" s="8" t="n">
        <v>30</v>
      </c>
      <c r="J94" s="8" t="n">
        <v>9</v>
      </c>
      <c r="K94" s="8" t="n">
        <v>1</v>
      </c>
      <c r="L94" s="8" t="n">
        <v>3</v>
      </c>
      <c r="M94" s="8" t="n">
        <v>10</v>
      </c>
      <c r="N94" s="8" t="n">
        <v>0</v>
      </c>
      <c r="O94" s="8" t="n">
        <v>2</v>
      </c>
      <c r="P94" s="8" t="n">
        <v>105</v>
      </c>
      <c r="Q94" s="8" t="n">
        <v>3</v>
      </c>
      <c r="R94" s="8" t="n">
        <v>108</v>
      </c>
      <c r="S94" s="8" t="n">
        <v>0</v>
      </c>
    </row>
    <row r="95" customFormat="false" ht="15" hidden="false" customHeight="false" outlineLevel="0" collapsed="false">
      <c r="A95" s="8" t="n">
        <v>2010</v>
      </c>
      <c r="B95" s="8" t="s">
        <v>140</v>
      </c>
      <c r="C95" s="8" t="s">
        <v>172</v>
      </c>
      <c r="D95" s="8" t="s">
        <v>45</v>
      </c>
      <c r="E95" s="8"/>
      <c r="F95" s="8" t="n">
        <v>340</v>
      </c>
      <c r="G95" s="8" t="n">
        <v>352</v>
      </c>
      <c r="H95" s="8" t="n">
        <v>109</v>
      </c>
      <c r="I95" s="8" t="n">
        <v>164</v>
      </c>
      <c r="J95" s="8" t="n">
        <v>64</v>
      </c>
      <c r="K95" s="8" t="n">
        <v>22</v>
      </c>
      <c r="L95" s="8" t="n">
        <v>26</v>
      </c>
      <c r="M95" s="8" t="n">
        <v>49</v>
      </c>
      <c r="N95" s="8" t="n">
        <v>0</v>
      </c>
      <c r="O95" s="8" t="n">
        <v>7</v>
      </c>
      <c r="P95" s="8" t="n">
        <v>1133</v>
      </c>
      <c r="Q95" s="8" t="n">
        <v>5</v>
      </c>
      <c r="R95" s="8" t="n">
        <v>1138</v>
      </c>
      <c r="S95" s="8" t="n">
        <v>1521</v>
      </c>
    </row>
    <row r="96" customFormat="false" ht="15" hidden="false" customHeight="false" outlineLevel="0" collapsed="false">
      <c r="A96" s="8" t="n">
        <v>2010</v>
      </c>
      <c r="B96" s="8" t="s">
        <v>140</v>
      </c>
      <c r="C96" s="8" t="s">
        <v>174</v>
      </c>
      <c r="D96" s="8" t="s">
        <v>47</v>
      </c>
      <c r="E96" s="8"/>
      <c r="F96" s="8" t="n">
        <v>376</v>
      </c>
      <c r="G96" s="8" t="n">
        <v>256</v>
      </c>
      <c r="H96" s="8" t="n">
        <v>111</v>
      </c>
      <c r="I96" s="8" t="n">
        <v>132</v>
      </c>
      <c r="J96" s="8" t="n">
        <v>62</v>
      </c>
      <c r="K96" s="8" t="n">
        <v>12</v>
      </c>
      <c r="L96" s="8" t="n">
        <v>29</v>
      </c>
      <c r="M96" s="8" t="n">
        <v>43</v>
      </c>
      <c r="N96" s="8" t="n">
        <v>0</v>
      </c>
      <c r="O96" s="8" t="n">
        <v>17</v>
      </c>
      <c r="P96" s="8" t="n">
        <v>1038</v>
      </c>
      <c r="Q96" s="8" t="n">
        <v>6</v>
      </c>
      <c r="R96" s="8" t="n">
        <v>1046</v>
      </c>
      <c r="S96" s="8" t="n">
        <v>1373</v>
      </c>
    </row>
    <row r="97" customFormat="false" ht="15" hidden="false" customHeight="false" outlineLevel="0" collapsed="false">
      <c r="A97" s="8" t="n">
        <v>2010</v>
      </c>
      <c r="B97" s="8" t="s">
        <v>140</v>
      </c>
      <c r="C97" s="8" t="s">
        <v>176</v>
      </c>
      <c r="D97" s="8" t="s">
        <v>49</v>
      </c>
      <c r="E97" s="8"/>
      <c r="F97" s="8" t="n">
        <v>439</v>
      </c>
      <c r="G97" s="8" t="n">
        <v>227</v>
      </c>
      <c r="H97" s="8" t="n">
        <v>84</v>
      </c>
      <c r="I97" s="8" t="n">
        <v>108</v>
      </c>
      <c r="J97" s="8" t="n">
        <v>56</v>
      </c>
      <c r="K97" s="8" t="n">
        <v>11</v>
      </c>
      <c r="L97" s="8" t="n">
        <v>20</v>
      </c>
      <c r="M97" s="8" t="n">
        <v>58</v>
      </c>
      <c r="N97" s="8" t="n">
        <v>0</v>
      </c>
      <c r="O97" s="8" t="n">
        <v>11</v>
      </c>
      <c r="P97" s="8" t="n">
        <v>1014</v>
      </c>
      <c r="Q97" s="8" t="n">
        <v>16</v>
      </c>
      <c r="R97" s="8" t="n">
        <v>1031</v>
      </c>
      <c r="S97" s="8" t="n">
        <v>1417</v>
      </c>
    </row>
    <row r="98" customFormat="false" ht="15" hidden="false" customHeight="false" outlineLevel="0" collapsed="false">
      <c r="A98" s="8" t="n">
        <v>2010</v>
      </c>
      <c r="B98" s="8" t="s">
        <v>140</v>
      </c>
      <c r="C98" s="8" t="s">
        <v>178</v>
      </c>
      <c r="D98" s="8" t="s">
        <v>51</v>
      </c>
      <c r="E98" s="8"/>
      <c r="F98" s="8" t="n">
        <v>498</v>
      </c>
      <c r="G98" s="8" t="n">
        <v>148</v>
      </c>
      <c r="H98" s="8" t="n">
        <v>105</v>
      </c>
      <c r="I98" s="8" t="n">
        <v>83</v>
      </c>
      <c r="J98" s="8" t="n">
        <v>81</v>
      </c>
      <c r="K98" s="8" t="n">
        <v>9</v>
      </c>
      <c r="L98" s="8" t="n">
        <v>14</v>
      </c>
      <c r="M98" s="8" t="n">
        <v>54</v>
      </c>
      <c r="N98" s="8" t="n">
        <v>0</v>
      </c>
      <c r="O98" s="8" t="n">
        <v>13</v>
      </c>
      <c r="P98" s="8" t="n">
        <v>1005</v>
      </c>
      <c r="Q98" s="8" t="n">
        <v>9</v>
      </c>
      <c r="R98" s="8" t="n">
        <v>1014</v>
      </c>
      <c r="S98" s="8" t="n">
        <v>1443</v>
      </c>
    </row>
    <row r="99" customFormat="false" ht="15" hidden="false" customHeight="false" outlineLevel="0" collapsed="false">
      <c r="A99" s="8" t="n">
        <v>2010</v>
      </c>
      <c r="B99" s="8" t="s">
        <v>140</v>
      </c>
      <c r="C99" s="8" t="s">
        <v>180</v>
      </c>
      <c r="D99" s="8" t="s">
        <v>53</v>
      </c>
      <c r="E99" s="8"/>
      <c r="F99" s="8" t="n">
        <v>492</v>
      </c>
      <c r="G99" s="8" t="n">
        <v>168</v>
      </c>
      <c r="H99" s="8" t="n">
        <v>81</v>
      </c>
      <c r="I99" s="8" t="n">
        <v>77</v>
      </c>
      <c r="J99" s="8" t="n">
        <v>66</v>
      </c>
      <c r="K99" s="8" t="n">
        <v>9</v>
      </c>
      <c r="L99" s="8" t="n">
        <v>8</v>
      </c>
      <c r="M99" s="8" t="n">
        <v>37</v>
      </c>
      <c r="N99" s="8" t="n">
        <v>0</v>
      </c>
      <c r="O99" s="8" t="n">
        <v>12</v>
      </c>
      <c r="P99" s="8" t="n">
        <v>950</v>
      </c>
      <c r="Q99" s="8" t="n">
        <v>7</v>
      </c>
      <c r="R99" s="8" t="n">
        <v>959</v>
      </c>
      <c r="S99" s="8" t="n">
        <v>1384</v>
      </c>
    </row>
    <row r="100" customFormat="false" ht="15" hidden="false" customHeight="false" outlineLevel="0" collapsed="false">
      <c r="A100" s="8" t="n">
        <v>2010</v>
      </c>
      <c r="B100" s="8" t="s">
        <v>140</v>
      </c>
      <c r="C100" s="8" t="s">
        <v>182</v>
      </c>
      <c r="D100" s="8" t="s">
        <v>55</v>
      </c>
      <c r="E100" s="8"/>
      <c r="F100" s="8" t="n">
        <v>432</v>
      </c>
      <c r="G100" s="8" t="n">
        <v>170</v>
      </c>
      <c r="H100" s="8" t="n">
        <v>101</v>
      </c>
      <c r="I100" s="8" t="n">
        <v>94</v>
      </c>
      <c r="J100" s="8" t="n">
        <v>64</v>
      </c>
      <c r="K100" s="8" t="n">
        <v>14</v>
      </c>
      <c r="L100" s="8" t="n">
        <v>8</v>
      </c>
      <c r="M100" s="8" t="n">
        <v>32</v>
      </c>
      <c r="N100" s="8" t="n">
        <v>0</v>
      </c>
      <c r="O100" s="8" t="n">
        <v>12</v>
      </c>
      <c r="P100" s="8" t="n">
        <v>927</v>
      </c>
      <c r="Q100" s="8" t="n">
        <v>4</v>
      </c>
      <c r="R100" s="8" t="n">
        <v>931</v>
      </c>
      <c r="S100" s="8" t="n">
        <v>1296</v>
      </c>
    </row>
    <row r="101" customFormat="false" ht="15" hidden="false" customHeight="false" outlineLevel="0" collapsed="false">
      <c r="A101" s="8" t="n">
        <v>2010</v>
      </c>
      <c r="B101" s="8" t="s">
        <v>140</v>
      </c>
      <c r="C101" s="8" t="s">
        <v>184</v>
      </c>
      <c r="D101" s="8" t="s">
        <v>57</v>
      </c>
      <c r="E101" s="8"/>
      <c r="F101" s="8" t="n">
        <v>473</v>
      </c>
      <c r="G101" s="8" t="n">
        <v>241</v>
      </c>
      <c r="H101" s="8" t="n">
        <v>106</v>
      </c>
      <c r="I101" s="8" t="n">
        <v>127</v>
      </c>
      <c r="J101" s="8" t="n">
        <v>53</v>
      </c>
      <c r="K101" s="8" t="n">
        <v>15</v>
      </c>
      <c r="L101" s="8" t="n">
        <v>20</v>
      </c>
      <c r="M101" s="8" t="n">
        <v>54</v>
      </c>
      <c r="N101" s="8" t="n">
        <v>0</v>
      </c>
      <c r="O101" s="8" t="n">
        <v>22</v>
      </c>
      <c r="P101" s="8" t="n">
        <v>1111</v>
      </c>
      <c r="Q101" s="8" t="n">
        <v>12</v>
      </c>
      <c r="R101" s="8" t="n">
        <v>1123</v>
      </c>
      <c r="S101" s="8" t="n">
        <v>1479</v>
      </c>
    </row>
    <row r="102" customFormat="false" ht="15" hidden="false" customHeight="false" outlineLevel="0" collapsed="false">
      <c r="A102" s="8" t="n">
        <v>2010</v>
      </c>
      <c r="B102" s="8" t="s">
        <v>140</v>
      </c>
      <c r="C102" s="8" t="s">
        <v>186</v>
      </c>
      <c r="D102" s="8" t="s">
        <v>59</v>
      </c>
      <c r="E102" s="8"/>
      <c r="F102" s="8" t="n">
        <v>447</v>
      </c>
      <c r="G102" s="8" t="n">
        <v>167</v>
      </c>
      <c r="H102" s="8" t="n">
        <v>145</v>
      </c>
      <c r="I102" s="8" t="n">
        <v>72</v>
      </c>
      <c r="J102" s="8" t="n">
        <v>47</v>
      </c>
      <c r="K102" s="8" t="n">
        <v>10</v>
      </c>
      <c r="L102" s="8" t="n">
        <v>15</v>
      </c>
      <c r="M102" s="8" t="n">
        <v>49</v>
      </c>
      <c r="N102" s="8" t="n">
        <v>0</v>
      </c>
      <c r="O102" s="8" t="n">
        <v>16</v>
      </c>
      <c r="P102" s="8" t="n">
        <v>968</v>
      </c>
      <c r="Q102" s="8" t="n">
        <v>13</v>
      </c>
      <c r="R102" s="8" t="n">
        <v>984</v>
      </c>
      <c r="S102" s="8" t="n">
        <v>1357</v>
      </c>
    </row>
    <row r="103" customFormat="false" ht="15" hidden="false" customHeight="false" outlineLevel="0" collapsed="false">
      <c r="A103" s="8" t="n">
        <v>2010</v>
      </c>
      <c r="B103" s="8" t="s">
        <v>140</v>
      </c>
      <c r="C103" s="8" t="s">
        <v>188</v>
      </c>
      <c r="D103" s="8" t="s">
        <v>61</v>
      </c>
      <c r="E103" s="8"/>
      <c r="F103" s="8" t="n">
        <v>401</v>
      </c>
      <c r="G103" s="8" t="n">
        <v>219</v>
      </c>
      <c r="H103" s="8" t="n">
        <v>140</v>
      </c>
      <c r="I103" s="8" t="n">
        <v>132</v>
      </c>
      <c r="J103" s="8" t="n">
        <v>37</v>
      </c>
      <c r="K103" s="8" t="n">
        <v>20</v>
      </c>
      <c r="L103" s="8" t="n">
        <v>21</v>
      </c>
      <c r="M103" s="8" t="n">
        <v>54</v>
      </c>
      <c r="N103" s="8" t="n">
        <v>0</v>
      </c>
      <c r="O103" s="8" t="n">
        <v>12</v>
      </c>
      <c r="P103" s="8" t="n">
        <v>1036</v>
      </c>
      <c r="Q103" s="8" t="n">
        <v>11</v>
      </c>
      <c r="R103" s="8" t="n">
        <v>1048</v>
      </c>
      <c r="S103" s="8" t="n">
        <v>1307</v>
      </c>
    </row>
    <row r="104" customFormat="false" ht="15" hidden="false" customHeight="false" outlineLevel="0" collapsed="false">
      <c r="A104" s="8" t="n">
        <v>2010</v>
      </c>
      <c r="B104" s="8" t="s">
        <v>140</v>
      </c>
      <c r="C104" s="8" t="s">
        <v>190</v>
      </c>
      <c r="D104" s="8" t="s">
        <v>63</v>
      </c>
      <c r="E104" s="8"/>
      <c r="F104" s="8" t="n">
        <v>414</v>
      </c>
      <c r="G104" s="8" t="n">
        <v>116</v>
      </c>
      <c r="H104" s="8" t="n">
        <v>116</v>
      </c>
      <c r="I104" s="8" t="n">
        <v>82</v>
      </c>
      <c r="J104" s="8" t="n">
        <v>40</v>
      </c>
      <c r="K104" s="8" t="n">
        <v>4</v>
      </c>
      <c r="L104" s="8" t="n">
        <v>3</v>
      </c>
      <c r="M104" s="8" t="n">
        <v>52</v>
      </c>
      <c r="N104" s="8" t="n">
        <v>0</v>
      </c>
      <c r="O104" s="8" t="n">
        <v>8</v>
      </c>
      <c r="P104" s="8" t="n">
        <v>835</v>
      </c>
      <c r="Q104" s="8" t="n">
        <v>10</v>
      </c>
      <c r="R104" s="8" t="n">
        <v>846</v>
      </c>
      <c r="S104" s="8" t="n">
        <v>1026</v>
      </c>
    </row>
    <row r="105" customFormat="false" ht="15" hidden="false" customHeight="false" outlineLevel="0" collapsed="false">
      <c r="A105" s="8" t="n">
        <v>2010</v>
      </c>
      <c r="B105" s="8" t="s">
        <v>140</v>
      </c>
      <c r="C105" s="8" t="s">
        <v>192</v>
      </c>
      <c r="D105" s="8" t="s">
        <v>65</v>
      </c>
      <c r="E105" s="8"/>
      <c r="F105" s="8" t="n">
        <v>414</v>
      </c>
      <c r="G105" s="8" t="n">
        <v>226</v>
      </c>
      <c r="H105" s="8" t="n">
        <v>81</v>
      </c>
      <c r="I105" s="8" t="n">
        <v>119</v>
      </c>
      <c r="J105" s="8" t="n">
        <v>29</v>
      </c>
      <c r="K105" s="8" t="n">
        <v>10</v>
      </c>
      <c r="L105" s="8" t="n">
        <v>19</v>
      </c>
      <c r="M105" s="8" t="n">
        <v>36</v>
      </c>
      <c r="N105" s="8" t="n">
        <v>0</v>
      </c>
      <c r="O105" s="8" t="n">
        <v>9</v>
      </c>
      <c r="P105" s="8" t="n">
        <v>943</v>
      </c>
      <c r="Q105" s="8" t="n">
        <v>2</v>
      </c>
      <c r="R105" s="8" t="n">
        <v>946</v>
      </c>
      <c r="S105" s="8" t="n">
        <v>1077</v>
      </c>
    </row>
    <row r="106" customFormat="false" ht="15" hidden="false" customHeight="false" outlineLevel="0" collapsed="false">
      <c r="A106" s="8" t="n">
        <v>2010</v>
      </c>
      <c r="B106" s="8" t="s">
        <v>140</v>
      </c>
      <c r="C106" s="8" t="s">
        <v>194</v>
      </c>
      <c r="D106" s="8" t="s">
        <v>67</v>
      </c>
      <c r="E106" s="8"/>
      <c r="F106" s="8" t="n">
        <v>561</v>
      </c>
      <c r="G106" s="8" t="n">
        <v>53</v>
      </c>
      <c r="H106" s="8" t="n">
        <v>58</v>
      </c>
      <c r="I106" s="8" t="n">
        <v>58</v>
      </c>
      <c r="J106" s="8" t="n">
        <v>114</v>
      </c>
      <c r="K106" s="8" t="n">
        <v>7</v>
      </c>
      <c r="L106" s="8" t="n">
        <v>6</v>
      </c>
      <c r="M106" s="8" t="n">
        <v>24</v>
      </c>
      <c r="N106" s="8" t="n">
        <v>0</v>
      </c>
      <c r="O106" s="8" t="n">
        <v>8</v>
      </c>
      <c r="P106" s="8" t="n">
        <v>889</v>
      </c>
      <c r="Q106" s="8" t="n">
        <v>4</v>
      </c>
      <c r="R106" s="8" t="n">
        <v>893</v>
      </c>
      <c r="S106" s="8" t="n">
        <v>1322</v>
      </c>
    </row>
    <row r="107" customFormat="false" ht="15" hidden="false" customHeight="false" outlineLevel="0" collapsed="false">
      <c r="A107" s="8" t="n">
        <v>2010</v>
      </c>
      <c r="B107" s="8" t="s">
        <v>140</v>
      </c>
      <c r="C107" s="8" t="s">
        <v>196</v>
      </c>
      <c r="D107" s="8" t="s">
        <v>69</v>
      </c>
      <c r="E107" s="8"/>
      <c r="F107" s="8" t="n">
        <v>481</v>
      </c>
      <c r="G107" s="8" t="n">
        <v>169</v>
      </c>
      <c r="H107" s="8" t="n">
        <v>84</v>
      </c>
      <c r="I107" s="8" t="n">
        <v>97</v>
      </c>
      <c r="J107" s="8" t="n">
        <v>50</v>
      </c>
      <c r="K107" s="8" t="n">
        <v>10</v>
      </c>
      <c r="L107" s="8" t="n">
        <v>14</v>
      </c>
      <c r="M107" s="8" t="n">
        <v>45</v>
      </c>
      <c r="N107" s="8" t="n">
        <v>0</v>
      </c>
      <c r="O107" s="8" t="n">
        <v>6</v>
      </c>
      <c r="P107" s="8" t="n">
        <v>956</v>
      </c>
      <c r="Q107" s="8" t="n">
        <v>9</v>
      </c>
      <c r="R107" s="8" t="n">
        <v>966</v>
      </c>
      <c r="S107" s="8" t="n">
        <v>1227</v>
      </c>
    </row>
    <row r="108" customFormat="false" ht="15" hidden="false" customHeight="false" outlineLevel="0" collapsed="false">
      <c r="A108" s="8" t="n">
        <v>2010</v>
      </c>
      <c r="B108" s="8" t="s">
        <v>140</v>
      </c>
      <c r="C108" s="8" t="s">
        <v>198</v>
      </c>
      <c r="D108" s="8" t="s">
        <v>71</v>
      </c>
      <c r="E108" s="8"/>
      <c r="F108" s="8" t="n">
        <v>592</v>
      </c>
      <c r="G108" s="8" t="n">
        <v>479</v>
      </c>
      <c r="H108" s="8" t="n">
        <v>179</v>
      </c>
      <c r="I108" s="8" t="n">
        <v>290</v>
      </c>
      <c r="J108" s="8" t="n">
        <v>36</v>
      </c>
      <c r="K108" s="8" t="n">
        <v>24</v>
      </c>
      <c r="L108" s="8" t="n">
        <v>42</v>
      </c>
      <c r="M108" s="8" t="n">
        <v>55</v>
      </c>
      <c r="N108" s="8" t="n">
        <v>0</v>
      </c>
      <c r="O108" s="8" t="n">
        <v>8</v>
      </c>
      <c r="P108" s="8" t="n">
        <v>1705</v>
      </c>
      <c r="Q108" s="8" t="n">
        <v>18</v>
      </c>
      <c r="R108" s="8" t="n">
        <v>1723</v>
      </c>
      <c r="S108" s="8" t="n">
        <v>1943</v>
      </c>
    </row>
    <row r="109" customFormat="false" ht="15" hidden="false" customHeight="false" outlineLevel="0" collapsed="false">
      <c r="A109" s="8" t="n">
        <v>2010</v>
      </c>
      <c r="B109" s="8" t="s">
        <v>140</v>
      </c>
      <c r="C109" s="8" t="s">
        <v>200</v>
      </c>
      <c r="D109" s="8" t="s">
        <v>219</v>
      </c>
      <c r="E109" s="8"/>
      <c r="F109" s="8" t="n">
        <v>385</v>
      </c>
      <c r="G109" s="8" t="n">
        <v>211</v>
      </c>
      <c r="H109" s="8" t="n">
        <v>82</v>
      </c>
      <c r="I109" s="8" t="n">
        <v>99</v>
      </c>
      <c r="J109" s="8" t="n">
        <v>25</v>
      </c>
      <c r="K109" s="8" t="n">
        <v>11</v>
      </c>
      <c r="L109" s="8" t="n">
        <v>21</v>
      </c>
      <c r="M109" s="8" t="n">
        <v>30</v>
      </c>
      <c r="N109" s="8" t="n">
        <v>0</v>
      </c>
      <c r="O109" s="8" t="n">
        <v>3</v>
      </c>
      <c r="P109" s="8" t="n">
        <v>867</v>
      </c>
      <c r="Q109" s="8" t="n">
        <v>9</v>
      </c>
      <c r="R109" s="8" t="n">
        <v>876</v>
      </c>
      <c r="S109" s="8" t="n">
        <v>1007</v>
      </c>
    </row>
    <row r="110" customFormat="false" ht="15" hidden="false" customHeight="false" outlineLevel="0" collapsed="false">
      <c r="A110" s="8" t="n">
        <v>2010</v>
      </c>
      <c r="B110" s="8" t="s">
        <v>140</v>
      </c>
      <c r="C110" s="8" t="s">
        <v>202</v>
      </c>
      <c r="D110" s="8" t="s">
        <v>75</v>
      </c>
      <c r="E110" s="8"/>
      <c r="F110" s="8" t="n">
        <v>195</v>
      </c>
      <c r="G110" s="8" t="n">
        <v>629</v>
      </c>
      <c r="H110" s="8" t="n">
        <v>88</v>
      </c>
      <c r="I110" s="8" t="n">
        <v>219</v>
      </c>
      <c r="J110" s="8" t="n">
        <v>9</v>
      </c>
      <c r="K110" s="8" t="n">
        <v>42</v>
      </c>
      <c r="L110" s="8" t="n">
        <v>67</v>
      </c>
      <c r="M110" s="8" t="n">
        <v>38</v>
      </c>
      <c r="N110" s="8" t="n">
        <v>0</v>
      </c>
      <c r="O110" s="8" t="n">
        <v>5</v>
      </c>
      <c r="P110" s="8" t="n">
        <v>1292</v>
      </c>
      <c r="Q110" s="8" t="n">
        <v>7</v>
      </c>
      <c r="R110" s="8" t="n">
        <v>1300</v>
      </c>
      <c r="S110" s="8" t="n">
        <v>1437</v>
      </c>
    </row>
    <row r="111" customFormat="false" ht="15" hidden="false" customHeight="false" outlineLevel="0" collapsed="false">
      <c r="A111" s="8" t="n">
        <v>2010</v>
      </c>
      <c r="B111" s="8" t="s">
        <v>140</v>
      </c>
      <c r="C111" s="8" t="s">
        <v>204</v>
      </c>
      <c r="D111" s="8" t="s">
        <v>81</v>
      </c>
      <c r="E111" s="8"/>
      <c r="F111" s="8" t="n">
        <v>37</v>
      </c>
      <c r="G111" s="8" t="n">
        <v>114</v>
      </c>
      <c r="H111" s="8" t="n">
        <v>25</v>
      </c>
      <c r="I111" s="8" t="n">
        <v>33</v>
      </c>
      <c r="J111" s="8" t="n">
        <v>12</v>
      </c>
      <c r="K111" s="8" t="n">
        <v>22</v>
      </c>
      <c r="L111" s="8" t="n">
        <v>10</v>
      </c>
      <c r="M111" s="8" t="n">
        <v>15</v>
      </c>
      <c r="N111" s="8" t="n">
        <v>0</v>
      </c>
      <c r="O111" s="8" t="n">
        <v>4</v>
      </c>
      <c r="P111" s="8" t="n">
        <v>272</v>
      </c>
      <c r="Q111" s="8" t="n">
        <v>1</v>
      </c>
      <c r="R111" s="8" t="n">
        <v>273</v>
      </c>
      <c r="S111" s="8" t="n">
        <v>317</v>
      </c>
    </row>
    <row r="112" customFormat="false" ht="15" hidden="false" customHeight="false" outlineLevel="0" collapsed="false">
      <c r="A112" s="8" t="n">
        <v>2010</v>
      </c>
      <c r="B112" s="8" t="s">
        <v>140</v>
      </c>
      <c r="C112" s="8" t="s">
        <v>206</v>
      </c>
      <c r="D112" s="8" t="s">
        <v>220</v>
      </c>
      <c r="E112" s="8"/>
      <c r="F112" s="8" t="n">
        <v>227</v>
      </c>
      <c r="G112" s="8" t="n">
        <v>485</v>
      </c>
      <c r="H112" s="8" t="n">
        <v>161</v>
      </c>
      <c r="I112" s="8" t="n">
        <v>116</v>
      </c>
      <c r="J112" s="8" t="n">
        <v>27</v>
      </c>
      <c r="K112" s="8" t="n">
        <v>64</v>
      </c>
      <c r="L112" s="8" t="n">
        <v>41</v>
      </c>
      <c r="M112" s="8" t="n">
        <v>59</v>
      </c>
      <c r="N112" s="8" t="n">
        <v>0</v>
      </c>
      <c r="O112" s="8" t="n">
        <v>4</v>
      </c>
      <c r="P112" s="8" t="n">
        <v>1184</v>
      </c>
      <c r="Q112" s="8" t="n">
        <v>16</v>
      </c>
      <c r="R112" s="8" t="n">
        <v>1200</v>
      </c>
      <c r="S112" s="8" t="n">
        <v>1440</v>
      </c>
    </row>
    <row r="113" customFormat="false" ht="15" hidden="false" customHeight="false" outlineLevel="0" collapsed="false">
      <c r="A113" s="8" t="n">
        <v>2010</v>
      </c>
      <c r="B113" s="8" t="s">
        <v>140</v>
      </c>
      <c r="C113" s="8" t="s">
        <v>208</v>
      </c>
      <c r="D113" s="8" t="s">
        <v>221</v>
      </c>
      <c r="E113" s="8"/>
      <c r="F113" s="8" t="n">
        <v>458</v>
      </c>
      <c r="G113" s="8" t="n">
        <v>695</v>
      </c>
      <c r="H113" s="8" t="n">
        <v>142</v>
      </c>
      <c r="I113" s="8" t="n">
        <v>249</v>
      </c>
      <c r="J113" s="8" t="n">
        <v>38</v>
      </c>
      <c r="K113" s="8" t="n">
        <v>34</v>
      </c>
      <c r="L113" s="8" t="n">
        <v>40</v>
      </c>
      <c r="M113" s="8" t="n">
        <v>60</v>
      </c>
      <c r="N113" s="8" t="n">
        <v>0</v>
      </c>
      <c r="O113" s="8" t="n">
        <v>16</v>
      </c>
      <c r="P113" s="8" t="n">
        <v>1732</v>
      </c>
      <c r="Q113" s="8" t="n">
        <v>20</v>
      </c>
      <c r="R113" s="8" t="n">
        <v>1752</v>
      </c>
      <c r="S113" s="8" t="n">
        <v>1972</v>
      </c>
    </row>
    <row r="114" customFormat="false" ht="15" hidden="false" customHeight="false" outlineLevel="0" collapsed="false">
      <c r="A114" s="8" t="n">
        <v>2010</v>
      </c>
      <c r="B114" s="8" t="s">
        <v>140</v>
      </c>
      <c r="C114" s="8" t="s">
        <v>210</v>
      </c>
      <c r="D114" s="8" t="s">
        <v>89</v>
      </c>
      <c r="E114" s="8"/>
      <c r="F114" s="8" t="n">
        <v>421</v>
      </c>
      <c r="G114" s="8" t="n">
        <v>519</v>
      </c>
      <c r="H114" s="8" t="n">
        <v>193</v>
      </c>
      <c r="I114" s="8" t="n">
        <v>147</v>
      </c>
      <c r="J114" s="8" t="n">
        <v>23</v>
      </c>
      <c r="K114" s="8" t="n">
        <v>67</v>
      </c>
      <c r="L114" s="8" t="n">
        <v>34</v>
      </c>
      <c r="M114" s="8" t="n">
        <v>44</v>
      </c>
      <c r="N114" s="8" t="n">
        <v>0</v>
      </c>
      <c r="O114" s="8" t="n">
        <v>11</v>
      </c>
      <c r="P114" s="8" t="n">
        <v>1459</v>
      </c>
      <c r="Q114" s="8" t="n">
        <v>15</v>
      </c>
      <c r="R114" s="8" t="n">
        <v>1474</v>
      </c>
      <c r="S114" s="8" t="n">
        <v>1727</v>
      </c>
    </row>
    <row r="115" customFormat="false" ht="15" hidden="false" customHeight="false" outlineLevel="0" collapsed="false">
      <c r="A115" s="8" t="n">
        <v>2010</v>
      </c>
      <c r="B115" s="8" t="s">
        <v>140</v>
      </c>
      <c r="C115" s="8" t="s">
        <v>212</v>
      </c>
      <c r="D115" s="8" t="s">
        <v>222</v>
      </c>
      <c r="E115" s="8"/>
      <c r="F115" s="8" t="n">
        <v>255</v>
      </c>
      <c r="G115" s="8" t="n">
        <v>719</v>
      </c>
      <c r="H115" s="8" t="n">
        <v>85</v>
      </c>
      <c r="I115" s="8" t="n">
        <v>233</v>
      </c>
      <c r="J115" s="8" t="n">
        <v>15</v>
      </c>
      <c r="K115" s="8" t="n">
        <v>104</v>
      </c>
      <c r="L115" s="8" t="n">
        <v>92</v>
      </c>
      <c r="M115" s="8" t="n">
        <v>84</v>
      </c>
      <c r="N115" s="8" t="n">
        <v>0</v>
      </c>
      <c r="O115" s="8" t="n">
        <v>11</v>
      </c>
      <c r="P115" s="8" t="n">
        <v>1598</v>
      </c>
      <c r="Q115" s="8" t="n">
        <v>13</v>
      </c>
      <c r="R115" s="8" t="n">
        <v>1612</v>
      </c>
      <c r="S115" s="8" t="n">
        <v>1807</v>
      </c>
    </row>
    <row r="116" customFormat="false" ht="15" hidden="false" customHeight="false" outlineLevel="0" collapsed="false">
      <c r="A116" s="8" t="n">
        <v>2010</v>
      </c>
      <c r="B116" s="8" t="s">
        <v>140</v>
      </c>
      <c r="C116" s="8" t="s">
        <v>214</v>
      </c>
      <c r="D116" s="8" t="s">
        <v>91</v>
      </c>
      <c r="E116" s="8"/>
      <c r="F116" s="8" t="n">
        <v>289</v>
      </c>
      <c r="G116" s="8" t="n">
        <v>355</v>
      </c>
      <c r="H116" s="8" t="n">
        <v>96</v>
      </c>
      <c r="I116" s="8" t="n">
        <v>81</v>
      </c>
      <c r="J116" s="8" t="n">
        <v>32</v>
      </c>
      <c r="K116" s="8" t="n">
        <v>72</v>
      </c>
      <c r="L116" s="8" t="n">
        <v>42</v>
      </c>
      <c r="M116" s="8" t="n">
        <v>41</v>
      </c>
      <c r="N116" s="8" t="n">
        <v>0</v>
      </c>
      <c r="O116" s="8" t="n">
        <v>8</v>
      </c>
      <c r="P116" s="8" t="n">
        <v>1016</v>
      </c>
      <c r="Q116" s="8" t="n">
        <v>8</v>
      </c>
      <c r="R116" s="8" t="n">
        <v>1024</v>
      </c>
      <c r="S116" s="8" t="n">
        <v>1177</v>
      </c>
    </row>
    <row r="117" customFormat="false" ht="15" hidden="false" customHeight="false" outlineLevel="0" collapsed="false">
      <c r="A117" s="8" t="n">
        <v>2010</v>
      </c>
      <c r="B117" s="8" t="s">
        <v>140</v>
      </c>
      <c r="C117" s="8" t="s">
        <v>226</v>
      </c>
      <c r="D117" s="8" t="s">
        <v>224</v>
      </c>
      <c r="E117" s="8" t="s">
        <v>218</v>
      </c>
      <c r="F117" s="8" t="n">
        <v>68</v>
      </c>
      <c r="G117" s="8" t="n">
        <v>91</v>
      </c>
      <c r="H117" s="8" t="n">
        <v>24</v>
      </c>
      <c r="I117" s="8" t="n">
        <v>15</v>
      </c>
      <c r="J117" s="8" t="n">
        <v>11</v>
      </c>
      <c r="K117" s="8" t="n">
        <v>5</v>
      </c>
      <c r="L117" s="8" t="n">
        <v>5</v>
      </c>
      <c r="M117" s="8" t="n">
        <v>25</v>
      </c>
      <c r="N117" s="8" t="n">
        <v>0</v>
      </c>
      <c r="O117" s="8" t="n">
        <v>4</v>
      </c>
      <c r="P117" s="8" t="n">
        <v>248</v>
      </c>
      <c r="Q117" s="8" t="n">
        <v>6</v>
      </c>
      <c r="R117" s="8" t="n">
        <v>254</v>
      </c>
      <c r="S117" s="8" t="n">
        <v>0</v>
      </c>
    </row>
    <row r="118" customFormat="false" ht="15" hidden="false" customHeight="false" outlineLevel="0" collapsed="false">
      <c r="A118" s="8" t="n">
        <v>2010</v>
      </c>
      <c r="B118" s="8" t="s">
        <v>140</v>
      </c>
      <c r="C118" s="8" t="s">
        <v>227</v>
      </c>
      <c r="D118" s="8" t="s">
        <v>224</v>
      </c>
      <c r="E118" s="8" t="s">
        <v>218</v>
      </c>
      <c r="F118" s="8" t="n">
        <v>35</v>
      </c>
      <c r="G118" s="8" t="n">
        <v>68</v>
      </c>
      <c r="H118" s="8" t="n">
        <v>12</v>
      </c>
      <c r="I118" s="8" t="n">
        <v>22</v>
      </c>
      <c r="J118" s="8" t="n">
        <v>8</v>
      </c>
      <c r="K118" s="8" t="n">
        <v>7</v>
      </c>
      <c r="L118" s="8" t="n">
        <v>5</v>
      </c>
      <c r="M118" s="8" t="n">
        <v>20</v>
      </c>
      <c r="N118" s="8" t="n">
        <v>0</v>
      </c>
      <c r="O118" s="8" t="n">
        <v>6</v>
      </c>
      <c r="P118" s="8" t="n">
        <v>183</v>
      </c>
      <c r="Q118" s="8" t="n">
        <v>3</v>
      </c>
      <c r="R118" s="8" t="n">
        <v>186</v>
      </c>
      <c r="S118" s="8" t="n">
        <v>0</v>
      </c>
    </row>
    <row r="119" customFormat="false" ht="15" hidden="false" customHeight="false" outlineLevel="0" collapsed="false">
      <c r="A119" s="8" t="n">
        <v>2010</v>
      </c>
      <c r="B119" s="8" t="s">
        <v>139</v>
      </c>
      <c r="C119" s="8" t="s">
        <v>172</v>
      </c>
      <c r="D119" s="8" t="s">
        <v>45</v>
      </c>
      <c r="E119" s="8"/>
      <c r="F119" s="8" t="n">
        <v>380</v>
      </c>
      <c r="G119" s="8" t="n">
        <v>256</v>
      </c>
      <c r="H119" s="8" t="n">
        <v>106</v>
      </c>
      <c r="I119" s="8" t="n">
        <v>247</v>
      </c>
      <c r="J119" s="8" t="n">
        <v>69</v>
      </c>
      <c r="K119" s="8" t="n">
        <v>14</v>
      </c>
      <c r="L119" s="8" t="n">
        <v>16</v>
      </c>
      <c r="M119" s="8" t="n">
        <v>42</v>
      </c>
      <c r="N119" s="8" t="n">
        <v>0</v>
      </c>
      <c r="O119" s="8" t="n">
        <v>10</v>
      </c>
      <c r="P119" s="8" t="n">
        <v>1140</v>
      </c>
      <c r="Q119" s="8" t="n">
        <v>10</v>
      </c>
      <c r="R119" s="8" t="n">
        <v>1150</v>
      </c>
      <c r="S119" s="8" t="n">
        <v>1550</v>
      </c>
    </row>
    <row r="120" customFormat="false" ht="15" hidden="false" customHeight="false" outlineLevel="0" collapsed="false">
      <c r="A120" s="8" t="n">
        <v>2010</v>
      </c>
      <c r="B120" s="8" t="s">
        <v>139</v>
      </c>
      <c r="C120" s="8" t="s">
        <v>174</v>
      </c>
      <c r="D120" s="8" t="s">
        <v>47</v>
      </c>
      <c r="E120" s="8"/>
      <c r="F120" s="8" t="n">
        <v>433</v>
      </c>
      <c r="G120" s="8" t="n">
        <v>186</v>
      </c>
      <c r="H120" s="8" t="n">
        <v>119</v>
      </c>
      <c r="I120" s="8" t="n">
        <v>180</v>
      </c>
      <c r="J120" s="8" t="n">
        <v>59</v>
      </c>
      <c r="K120" s="8" t="n">
        <v>9</v>
      </c>
      <c r="L120" s="8" t="n">
        <v>22</v>
      </c>
      <c r="M120" s="8" t="n">
        <v>45</v>
      </c>
      <c r="N120" s="8" t="n">
        <v>0</v>
      </c>
      <c r="O120" s="8" t="n">
        <v>13</v>
      </c>
      <c r="P120" s="8" t="n">
        <v>1066</v>
      </c>
      <c r="Q120" s="8" t="n">
        <v>22</v>
      </c>
      <c r="R120" s="8" t="n">
        <v>1090</v>
      </c>
      <c r="S120" s="8" t="n">
        <v>1477</v>
      </c>
    </row>
    <row r="121" customFormat="false" ht="15" hidden="false" customHeight="false" outlineLevel="0" collapsed="false">
      <c r="A121" s="8" t="n">
        <v>2010</v>
      </c>
      <c r="B121" s="8" t="s">
        <v>139</v>
      </c>
      <c r="C121" s="8" t="s">
        <v>176</v>
      </c>
      <c r="D121" s="8" t="s">
        <v>49</v>
      </c>
      <c r="E121" s="8"/>
      <c r="F121" s="8" t="n">
        <v>503</v>
      </c>
      <c r="G121" s="8" t="n">
        <v>170</v>
      </c>
      <c r="H121" s="8" t="n">
        <v>92</v>
      </c>
      <c r="I121" s="8" t="n">
        <v>151</v>
      </c>
      <c r="J121" s="8" t="n">
        <v>60</v>
      </c>
      <c r="K121" s="8" t="n">
        <v>9</v>
      </c>
      <c r="L121" s="8" t="n">
        <v>15</v>
      </c>
      <c r="M121" s="8" t="n">
        <v>47</v>
      </c>
      <c r="N121" s="8" t="n">
        <v>0</v>
      </c>
      <c r="O121" s="8" t="n">
        <v>13</v>
      </c>
      <c r="P121" s="8" t="n">
        <v>1060</v>
      </c>
      <c r="Q121" s="8" t="n">
        <v>14</v>
      </c>
      <c r="R121" s="8" t="n">
        <v>1075</v>
      </c>
      <c r="S121" s="8" t="n">
        <v>1698</v>
      </c>
    </row>
    <row r="122" customFormat="false" ht="15" hidden="false" customHeight="false" outlineLevel="0" collapsed="false">
      <c r="A122" s="8" t="n">
        <v>2010</v>
      </c>
      <c r="B122" s="8" t="s">
        <v>139</v>
      </c>
      <c r="C122" s="8" t="s">
        <v>178</v>
      </c>
      <c r="D122" s="8" t="s">
        <v>51</v>
      </c>
      <c r="E122" s="8"/>
      <c r="F122" s="8" t="n">
        <v>555</v>
      </c>
      <c r="G122" s="8" t="n">
        <v>112</v>
      </c>
      <c r="H122" s="8" t="n">
        <v>107</v>
      </c>
      <c r="I122" s="8" t="n">
        <v>102</v>
      </c>
      <c r="J122" s="8" t="n">
        <v>98</v>
      </c>
      <c r="K122" s="8" t="n">
        <v>9</v>
      </c>
      <c r="L122" s="8" t="n">
        <v>14</v>
      </c>
      <c r="M122" s="8" t="n">
        <v>52</v>
      </c>
      <c r="N122" s="8" t="n">
        <v>0</v>
      </c>
      <c r="O122" s="8" t="n">
        <v>20</v>
      </c>
      <c r="P122" s="8" t="n">
        <v>1069</v>
      </c>
      <c r="Q122" s="8" t="n">
        <v>13</v>
      </c>
      <c r="R122" s="8" t="n">
        <v>1083</v>
      </c>
      <c r="S122" s="8" t="n">
        <v>1715</v>
      </c>
    </row>
    <row r="123" customFormat="false" ht="15" hidden="false" customHeight="false" outlineLevel="0" collapsed="false">
      <c r="A123" s="8" t="n">
        <v>2010</v>
      </c>
      <c r="B123" s="8" t="s">
        <v>139</v>
      </c>
      <c r="C123" s="8" t="s">
        <v>180</v>
      </c>
      <c r="D123" s="8" t="s">
        <v>53</v>
      </c>
      <c r="E123" s="8"/>
      <c r="F123" s="8" t="n">
        <v>532</v>
      </c>
      <c r="G123" s="8" t="n">
        <v>130</v>
      </c>
      <c r="H123" s="8" t="n">
        <v>105</v>
      </c>
      <c r="I123" s="8" t="n">
        <v>93</v>
      </c>
      <c r="J123" s="8" t="n">
        <v>72</v>
      </c>
      <c r="K123" s="8" t="n">
        <v>7</v>
      </c>
      <c r="L123" s="8" t="n">
        <v>6</v>
      </c>
      <c r="M123" s="8" t="n">
        <v>40</v>
      </c>
      <c r="N123" s="8" t="n">
        <v>0</v>
      </c>
      <c r="O123" s="8" t="n">
        <v>12</v>
      </c>
      <c r="P123" s="8" t="n">
        <v>997</v>
      </c>
      <c r="Q123" s="8" t="n">
        <v>14</v>
      </c>
      <c r="R123" s="8" t="n">
        <v>1012</v>
      </c>
      <c r="S123" s="8" t="n">
        <v>1654</v>
      </c>
    </row>
    <row r="124" customFormat="false" ht="15" hidden="false" customHeight="false" outlineLevel="0" collapsed="false">
      <c r="A124" s="8" t="n">
        <v>2010</v>
      </c>
      <c r="B124" s="8" t="s">
        <v>139</v>
      </c>
      <c r="C124" s="8" t="s">
        <v>182</v>
      </c>
      <c r="D124" s="8" t="s">
        <v>55</v>
      </c>
      <c r="E124" s="8"/>
      <c r="F124" s="8" t="n">
        <v>511</v>
      </c>
      <c r="G124" s="8" t="n">
        <v>128</v>
      </c>
      <c r="H124" s="8" t="n">
        <v>122</v>
      </c>
      <c r="I124" s="8" t="n">
        <v>112</v>
      </c>
      <c r="J124" s="8" t="n">
        <v>58</v>
      </c>
      <c r="K124" s="8" t="n">
        <v>19</v>
      </c>
      <c r="L124" s="8" t="n">
        <v>5</v>
      </c>
      <c r="M124" s="8" t="n">
        <v>35</v>
      </c>
      <c r="N124" s="8" t="n">
        <v>0</v>
      </c>
      <c r="O124" s="8" t="n">
        <v>17</v>
      </c>
      <c r="P124" s="8" t="n">
        <v>1007</v>
      </c>
      <c r="Q124" s="8" t="n">
        <v>6</v>
      </c>
      <c r="R124" s="8" t="n">
        <v>1013</v>
      </c>
      <c r="S124" s="8" t="n">
        <v>1544</v>
      </c>
    </row>
    <row r="125" customFormat="false" ht="15" hidden="false" customHeight="false" outlineLevel="0" collapsed="false">
      <c r="A125" s="8" t="n">
        <v>2010</v>
      </c>
      <c r="B125" s="8" t="s">
        <v>139</v>
      </c>
      <c r="C125" s="8" t="s">
        <v>184</v>
      </c>
      <c r="D125" s="8" t="s">
        <v>57</v>
      </c>
      <c r="E125" s="8"/>
      <c r="F125" s="8" t="n">
        <v>528</v>
      </c>
      <c r="G125" s="8" t="n">
        <v>159</v>
      </c>
      <c r="H125" s="8" t="n">
        <v>113</v>
      </c>
      <c r="I125" s="8" t="n">
        <v>179</v>
      </c>
      <c r="J125" s="8" t="n">
        <v>76</v>
      </c>
      <c r="K125" s="8" t="n">
        <v>10</v>
      </c>
      <c r="L125" s="8" t="n">
        <v>14</v>
      </c>
      <c r="M125" s="8" t="n">
        <v>48</v>
      </c>
      <c r="N125" s="8" t="n">
        <v>0</v>
      </c>
      <c r="O125" s="8" t="n">
        <v>14</v>
      </c>
      <c r="P125" s="8" t="n">
        <v>1141</v>
      </c>
      <c r="Q125" s="8" t="n">
        <v>18</v>
      </c>
      <c r="R125" s="8" t="n">
        <v>1159</v>
      </c>
      <c r="S125" s="8" t="n">
        <v>1689</v>
      </c>
    </row>
    <row r="126" customFormat="false" ht="15" hidden="false" customHeight="false" outlineLevel="0" collapsed="false">
      <c r="A126" s="8" t="n">
        <v>2010</v>
      </c>
      <c r="B126" s="8" t="s">
        <v>139</v>
      </c>
      <c r="C126" s="8" t="s">
        <v>186</v>
      </c>
      <c r="D126" s="8" t="s">
        <v>59</v>
      </c>
      <c r="E126" s="8"/>
      <c r="F126" s="8" t="n">
        <v>477</v>
      </c>
      <c r="G126" s="8" t="n">
        <v>124</v>
      </c>
      <c r="H126" s="8" t="n">
        <v>161</v>
      </c>
      <c r="I126" s="8" t="n">
        <v>104</v>
      </c>
      <c r="J126" s="8" t="n">
        <v>51</v>
      </c>
      <c r="K126" s="8" t="n">
        <v>4</v>
      </c>
      <c r="L126" s="8" t="n">
        <v>17</v>
      </c>
      <c r="M126" s="8" t="n">
        <v>43</v>
      </c>
      <c r="N126" s="8" t="n">
        <v>0</v>
      </c>
      <c r="O126" s="8" t="n">
        <v>24</v>
      </c>
      <c r="P126" s="8" t="n">
        <v>1005</v>
      </c>
      <c r="Q126" s="8" t="n">
        <v>17</v>
      </c>
      <c r="R126" s="8" t="n">
        <v>1025</v>
      </c>
      <c r="S126" s="8" t="n">
        <v>1535</v>
      </c>
    </row>
    <row r="127" customFormat="false" ht="15" hidden="false" customHeight="false" outlineLevel="0" collapsed="false">
      <c r="A127" s="8" t="n">
        <v>2010</v>
      </c>
      <c r="B127" s="8" t="s">
        <v>139</v>
      </c>
      <c r="C127" s="8" t="s">
        <v>188</v>
      </c>
      <c r="D127" s="8" t="s">
        <v>61</v>
      </c>
      <c r="E127" s="8"/>
      <c r="F127" s="8" t="n">
        <v>435</v>
      </c>
      <c r="G127" s="8" t="n">
        <v>149</v>
      </c>
      <c r="H127" s="8" t="n">
        <v>146</v>
      </c>
      <c r="I127" s="8" t="n">
        <v>179</v>
      </c>
      <c r="J127" s="8" t="n">
        <v>35</v>
      </c>
      <c r="K127" s="8" t="n">
        <v>18</v>
      </c>
      <c r="L127" s="8" t="n">
        <v>15</v>
      </c>
      <c r="M127" s="8" t="n">
        <v>51</v>
      </c>
      <c r="N127" s="8" t="n">
        <v>0</v>
      </c>
      <c r="O127" s="8" t="n">
        <v>12</v>
      </c>
      <c r="P127" s="8" t="n">
        <v>1040</v>
      </c>
      <c r="Q127" s="8" t="n">
        <v>20</v>
      </c>
      <c r="R127" s="8" t="n">
        <v>1060</v>
      </c>
      <c r="S127" s="8" t="n">
        <v>1394</v>
      </c>
    </row>
    <row r="128" customFormat="false" ht="15" hidden="false" customHeight="false" outlineLevel="0" collapsed="false">
      <c r="A128" s="8" t="n">
        <v>2010</v>
      </c>
      <c r="B128" s="8" t="s">
        <v>139</v>
      </c>
      <c r="C128" s="8" t="s">
        <v>190</v>
      </c>
      <c r="D128" s="8" t="s">
        <v>63</v>
      </c>
      <c r="E128" s="8"/>
      <c r="F128" s="8" t="n">
        <v>432</v>
      </c>
      <c r="G128" s="8" t="n">
        <v>81</v>
      </c>
      <c r="H128" s="8" t="n">
        <v>129</v>
      </c>
      <c r="I128" s="8" t="n">
        <v>98</v>
      </c>
      <c r="J128" s="8" t="n">
        <v>34</v>
      </c>
      <c r="K128" s="8" t="n">
        <v>4</v>
      </c>
      <c r="L128" s="8" t="n">
        <v>9</v>
      </c>
      <c r="M128" s="8" t="n">
        <v>43</v>
      </c>
      <c r="N128" s="8" t="n">
        <v>0</v>
      </c>
      <c r="O128" s="8" t="n">
        <v>9</v>
      </c>
      <c r="P128" s="8" t="n">
        <v>839</v>
      </c>
      <c r="Q128" s="8" t="n">
        <v>13</v>
      </c>
      <c r="R128" s="8" t="n">
        <v>852</v>
      </c>
      <c r="S128" s="8" t="n">
        <v>1064</v>
      </c>
    </row>
    <row r="129" customFormat="false" ht="15" hidden="false" customHeight="false" outlineLevel="0" collapsed="false">
      <c r="A129" s="8" t="n">
        <v>2010</v>
      </c>
      <c r="B129" s="8" t="s">
        <v>139</v>
      </c>
      <c r="C129" s="8" t="s">
        <v>192</v>
      </c>
      <c r="D129" s="8" t="s">
        <v>65</v>
      </c>
      <c r="E129" s="8"/>
      <c r="F129" s="8" t="n">
        <v>462</v>
      </c>
      <c r="G129" s="8" t="n">
        <v>156</v>
      </c>
      <c r="H129" s="8" t="n">
        <v>76</v>
      </c>
      <c r="I129" s="8" t="n">
        <v>179</v>
      </c>
      <c r="J129" s="8" t="n">
        <v>25</v>
      </c>
      <c r="K129" s="8" t="n">
        <v>5</v>
      </c>
      <c r="L129" s="8" t="n">
        <v>12</v>
      </c>
      <c r="M129" s="8" t="n">
        <v>32</v>
      </c>
      <c r="N129" s="8" t="n">
        <v>0</v>
      </c>
      <c r="O129" s="8" t="n">
        <v>10</v>
      </c>
      <c r="P129" s="8" t="n">
        <v>957</v>
      </c>
      <c r="Q129" s="8" t="n">
        <v>4</v>
      </c>
      <c r="R129" s="8" t="n">
        <v>962</v>
      </c>
      <c r="S129" s="8" t="n">
        <v>1107</v>
      </c>
    </row>
    <row r="130" customFormat="false" ht="15" hidden="false" customHeight="false" outlineLevel="0" collapsed="false">
      <c r="A130" s="8" t="n">
        <v>2010</v>
      </c>
      <c r="B130" s="8" t="s">
        <v>139</v>
      </c>
      <c r="C130" s="8" t="s">
        <v>194</v>
      </c>
      <c r="D130" s="8" t="s">
        <v>67</v>
      </c>
      <c r="E130" s="8"/>
      <c r="F130" s="8" t="n">
        <v>616</v>
      </c>
      <c r="G130" s="8" t="n">
        <v>44</v>
      </c>
      <c r="H130" s="8" t="n">
        <v>64</v>
      </c>
      <c r="I130" s="8" t="n">
        <v>33</v>
      </c>
      <c r="J130" s="8" t="n">
        <v>148</v>
      </c>
      <c r="K130" s="8" t="n">
        <v>3</v>
      </c>
      <c r="L130" s="8" t="n">
        <v>7</v>
      </c>
      <c r="M130" s="8" t="n">
        <v>25</v>
      </c>
      <c r="N130" s="8" t="n">
        <v>0</v>
      </c>
      <c r="O130" s="8" t="n">
        <v>7</v>
      </c>
      <c r="P130" s="8" t="n">
        <v>947</v>
      </c>
      <c r="Q130" s="8" t="n">
        <v>10</v>
      </c>
      <c r="R130" s="8" t="n">
        <v>957</v>
      </c>
      <c r="S130" s="8" t="n">
        <v>1586</v>
      </c>
    </row>
    <row r="131" customFormat="false" ht="15" hidden="false" customHeight="false" outlineLevel="0" collapsed="false">
      <c r="A131" s="8" t="n">
        <v>2010</v>
      </c>
      <c r="B131" s="8" t="s">
        <v>139</v>
      </c>
      <c r="C131" s="8" t="s">
        <v>196</v>
      </c>
      <c r="D131" s="8" t="s">
        <v>69</v>
      </c>
      <c r="E131" s="8"/>
      <c r="F131" s="8" t="n">
        <v>539</v>
      </c>
      <c r="G131" s="8" t="n">
        <v>113</v>
      </c>
      <c r="H131" s="8" t="n">
        <v>87</v>
      </c>
      <c r="I131" s="8" t="n">
        <v>121</v>
      </c>
      <c r="J131" s="8" t="n">
        <v>57</v>
      </c>
      <c r="K131" s="8" t="n">
        <v>6</v>
      </c>
      <c r="L131" s="8" t="n">
        <v>15</v>
      </c>
      <c r="M131" s="8" t="n">
        <v>36</v>
      </c>
      <c r="N131" s="8" t="n">
        <v>0</v>
      </c>
      <c r="O131" s="8" t="n">
        <v>9</v>
      </c>
      <c r="P131" s="8" t="n">
        <v>983</v>
      </c>
      <c r="Q131" s="8" t="n">
        <v>16</v>
      </c>
      <c r="R131" s="8" t="n">
        <v>1000</v>
      </c>
      <c r="S131" s="8" t="n">
        <v>1360</v>
      </c>
    </row>
    <row r="132" customFormat="false" ht="15" hidden="false" customHeight="false" outlineLevel="0" collapsed="false">
      <c r="A132" s="8" t="n">
        <v>2010</v>
      </c>
      <c r="B132" s="8" t="s">
        <v>139</v>
      </c>
      <c r="C132" s="8" t="s">
        <v>198</v>
      </c>
      <c r="D132" s="8" t="s">
        <v>71</v>
      </c>
      <c r="E132" s="8"/>
      <c r="F132" s="8" t="n">
        <v>632</v>
      </c>
      <c r="G132" s="8" t="n">
        <v>323</v>
      </c>
      <c r="H132" s="8" t="n">
        <v>171</v>
      </c>
      <c r="I132" s="8" t="n">
        <v>416</v>
      </c>
      <c r="J132" s="8" t="n">
        <v>38</v>
      </c>
      <c r="K132" s="8" t="n">
        <v>19</v>
      </c>
      <c r="L132" s="8" t="n">
        <v>37</v>
      </c>
      <c r="M132" s="8" t="n">
        <v>46</v>
      </c>
      <c r="N132" s="8" t="n">
        <v>0</v>
      </c>
      <c r="O132" s="8" t="n">
        <v>11</v>
      </c>
      <c r="P132" s="8" t="n">
        <v>1693</v>
      </c>
      <c r="Q132" s="8" t="n">
        <v>31</v>
      </c>
      <c r="R132" s="8" t="n">
        <v>1724</v>
      </c>
      <c r="S132" s="8" t="n">
        <v>1962</v>
      </c>
    </row>
    <row r="133" customFormat="false" ht="15" hidden="false" customHeight="false" outlineLevel="0" collapsed="false">
      <c r="A133" s="8" t="n">
        <v>2010</v>
      </c>
      <c r="B133" s="8" t="s">
        <v>139</v>
      </c>
      <c r="C133" s="8" t="s">
        <v>200</v>
      </c>
      <c r="D133" s="8" t="s">
        <v>219</v>
      </c>
      <c r="E133" s="8"/>
      <c r="F133" s="8" t="n">
        <v>408</v>
      </c>
      <c r="G133" s="8" t="n">
        <v>168</v>
      </c>
      <c r="H133" s="8" t="n">
        <v>83</v>
      </c>
      <c r="I133" s="8" t="n">
        <v>137</v>
      </c>
      <c r="J133" s="8" t="n">
        <v>22</v>
      </c>
      <c r="K133" s="8" t="n">
        <v>9</v>
      </c>
      <c r="L133" s="8" t="n">
        <v>10</v>
      </c>
      <c r="M133" s="8" t="n">
        <v>24</v>
      </c>
      <c r="N133" s="8" t="n">
        <v>0</v>
      </c>
      <c r="O133" s="8" t="n">
        <v>6</v>
      </c>
      <c r="P133" s="8" t="n">
        <v>867</v>
      </c>
      <c r="Q133" s="8" t="n">
        <v>11</v>
      </c>
      <c r="R133" s="8" t="n">
        <v>880</v>
      </c>
      <c r="S133" s="8" t="n">
        <v>1024</v>
      </c>
    </row>
    <row r="134" customFormat="false" ht="15" hidden="false" customHeight="false" outlineLevel="0" collapsed="false">
      <c r="A134" s="8" t="n">
        <v>2010</v>
      </c>
      <c r="B134" s="8" t="s">
        <v>139</v>
      </c>
      <c r="C134" s="8" t="s">
        <v>202</v>
      </c>
      <c r="D134" s="8" t="s">
        <v>75</v>
      </c>
      <c r="E134" s="8"/>
      <c r="F134" s="8" t="n">
        <v>238</v>
      </c>
      <c r="G134" s="8" t="n">
        <v>448</v>
      </c>
      <c r="H134" s="8" t="n">
        <v>91</v>
      </c>
      <c r="I134" s="8" t="n">
        <v>417</v>
      </c>
      <c r="J134" s="8" t="n">
        <v>7</v>
      </c>
      <c r="K134" s="8" t="n">
        <v>16</v>
      </c>
      <c r="L134" s="8" t="n">
        <v>27</v>
      </c>
      <c r="M134" s="8" t="n">
        <v>31</v>
      </c>
      <c r="N134" s="8" t="n">
        <v>0</v>
      </c>
      <c r="O134" s="8" t="n">
        <v>15</v>
      </c>
      <c r="P134" s="8" t="n">
        <v>1290</v>
      </c>
      <c r="Q134" s="8" t="n">
        <v>12</v>
      </c>
      <c r="R134" s="8" t="n">
        <v>1302</v>
      </c>
      <c r="S134" s="8" t="n">
        <v>1435</v>
      </c>
    </row>
    <row r="135" customFormat="false" ht="15" hidden="false" customHeight="false" outlineLevel="0" collapsed="false">
      <c r="A135" s="8" t="n">
        <v>2010</v>
      </c>
      <c r="B135" s="8" t="s">
        <v>139</v>
      </c>
      <c r="C135" s="8" t="s">
        <v>204</v>
      </c>
      <c r="D135" s="8" t="s">
        <v>81</v>
      </c>
      <c r="E135" s="8"/>
      <c r="F135" s="8" t="n">
        <v>49</v>
      </c>
      <c r="G135" s="8" t="n">
        <v>88</v>
      </c>
      <c r="H135" s="8" t="n">
        <v>22</v>
      </c>
      <c r="I135" s="8" t="n">
        <v>45</v>
      </c>
      <c r="J135" s="8" t="n">
        <v>15</v>
      </c>
      <c r="K135" s="8" t="n">
        <v>21</v>
      </c>
      <c r="L135" s="8" t="n">
        <v>9</v>
      </c>
      <c r="M135" s="8" t="n">
        <v>14</v>
      </c>
      <c r="N135" s="8" t="n">
        <v>0</v>
      </c>
      <c r="O135" s="8" t="n">
        <v>5</v>
      </c>
      <c r="P135" s="8" t="n">
        <v>268</v>
      </c>
      <c r="Q135" s="8" t="n">
        <v>5</v>
      </c>
      <c r="R135" s="8" t="n">
        <v>273</v>
      </c>
      <c r="S135" s="8" t="n">
        <v>311</v>
      </c>
    </row>
    <row r="136" customFormat="false" ht="15" hidden="false" customHeight="false" outlineLevel="0" collapsed="false">
      <c r="A136" s="8" t="n">
        <v>2010</v>
      </c>
      <c r="B136" s="8" t="s">
        <v>139</v>
      </c>
      <c r="C136" s="8" t="s">
        <v>206</v>
      </c>
      <c r="D136" s="8" t="s">
        <v>220</v>
      </c>
      <c r="E136" s="8"/>
      <c r="F136" s="8" t="n">
        <v>258</v>
      </c>
      <c r="G136" s="8" t="n">
        <v>412</v>
      </c>
      <c r="H136" s="8" t="n">
        <v>183</v>
      </c>
      <c r="I136" s="8" t="n">
        <v>153</v>
      </c>
      <c r="J136" s="8" t="n">
        <v>25</v>
      </c>
      <c r="K136" s="8" t="n">
        <v>69</v>
      </c>
      <c r="L136" s="8" t="n">
        <v>18</v>
      </c>
      <c r="M136" s="8" t="n">
        <v>58</v>
      </c>
      <c r="N136" s="8" t="n">
        <v>0</v>
      </c>
      <c r="O136" s="8" t="n">
        <v>8</v>
      </c>
      <c r="P136" s="8" t="n">
        <v>1184</v>
      </c>
      <c r="Q136" s="8" t="n">
        <v>24</v>
      </c>
      <c r="R136" s="8" t="n">
        <v>1208</v>
      </c>
      <c r="S136" s="8" t="n">
        <v>1484</v>
      </c>
    </row>
    <row r="137" customFormat="false" ht="15" hidden="false" customHeight="false" outlineLevel="0" collapsed="false">
      <c r="A137" s="8" t="n">
        <v>2010</v>
      </c>
      <c r="B137" s="8" t="s">
        <v>139</v>
      </c>
      <c r="C137" s="8" t="s">
        <v>208</v>
      </c>
      <c r="D137" s="8" t="s">
        <v>221</v>
      </c>
      <c r="E137" s="8"/>
      <c r="F137" s="8" t="n">
        <v>541</v>
      </c>
      <c r="G137" s="8" t="n">
        <v>523</v>
      </c>
      <c r="H137" s="8" t="n">
        <v>153</v>
      </c>
      <c r="I137" s="8" t="n">
        <v>332</v>
      </c>
      <c r="J137" s="8" t="n">
        <v>34</v>
      </c>
      <c r="K137" s="8" t="n">
        <v>31</v>
      </c>
      <c r="L137" s="8" t="n">
        <v>33</v>
      </c>
      <c r="M137" s="8" t="n">
        <v>50</v>
      </c>
      <c r="N137" s="8" t="n">
        <v>0</v>
      </c>
      <c r="O137" s="8" t="n">
        <v>20</v>
      </c>
      <c r="P137" s="8" t="n">
        <v>1717</v>
      </c>
      <c r="Q137" s="8" t="n">
        <v>31</v>
      </c>
      <c r="R137" s="8" t="n">
        <v>1748</v>
      </c>
      <c r="S137" s="8" t="n">
        <v>1995</v>
      </c>
    </row>
    <row r="138" customFormat="false" ht="15" hidden="false" customHeight="false" outlineLevel="0" collapsed="false">
      <c r="A138" s="8" t="n">
        <v>2010</v>
      </c>
      <c r="B138" s="8" t="s">
        <v>139</v>
      </c>
      <c r="C138" s="8" t="s">
        <v>210</v>
      </c>
      <c r="D138" s="8" t="s">
        <v>89</v>
      </c>
      <c r="E138" s="8"/>
      <c r="F138" s="8" t="n">
        <v>446</v>
      </c>
      <c r="G138" s="8" t="n">
        <v>384</v>
      </c>
      <c r="H138" s="8" t="n">
        <v>213</v>
      </c>
      <c r="I138" s="8" t="n">
        <v>238</v>
      </c>
      <c r="J138" s="8" t="n">
        <v>23</v>
      </c>
      <c r="K138" s="8" t="n">
        <v>53</v>
      </c>
      <c r="L138" s="8" t="n">
        <v>33</v>
      </c>
      <c r="M138" s="8" t="n">
        <v>45</v>
      </c>
      <c r="N138" s="8" t="n">
        <v>0</v>
      </c>
      <c r="O138" s="8" t="n">
        <v>19</v>
      </c>
      <c r="P138" s="8" t="n">
        <v>1454</v>
      </c>
      <c r="Q138" s="8" t="n">
        <v>19</v>
      </c>
      <c r="R138" s="8" t="n">
        <v>1474</v>
      </c>
      <c r="S138" s="8" t="n">
        <v>1799</v>
      </c>
    </row>
    <row r="139" customFormat="false" ht="15" hidden="false" customHeight="false" outlineLevel="0" collapsed="false">
      <c r="A139" s="8" t="n">
        <v>2010</v>
      </c>
      <c r="B139" s="8" t="s">
        <v>139</v>
      </c>
      <c r="C139" s="8" t="s">
        <v>212</v>
      </c>
      <c r="D139" s="8" t="s">
        <v>222</v>
      </c>
      <c r="E139" s="8"/>
      <c r="F139" s="8" t="n">
        <v>323</v>
      </c>
      <c r="G139" s="8" t="n">
        <v>573</v>
      </c>
      <c r="H139" s="8" t="n">
        <v>112</v>
      </c>
      <c r="I139" s="8" t="n">
        <v>352</v>
      </c>
      <c r="J139" s="8" t="n">
        <v>16</v>
      </c>
      <c r="K139" s="8" t="n">
        <v>78</v>
      </c>
      <c r="L139" s="8" t="n">
        <v>75</v>
      </c>
      <c r="M139" s="8" t="n">
        <v>73</v>
      </c>
      <c r="N139" s="8" t="n">
        <v>0</v>
      </c>
      <c r="O139" s="8" t="n">
        <v>9</v>
      </c>
      <c r="P139" s="8" t="n">
        <v>1611</v>
      </c>
      <c r="Q139" s="8" t="n">
        <v>19</v>
      </c>
      <c r="R139" s="8" t="n">
        <v>1631</v>
      </c>
      <c r="S139" s="8" t="n">
        <v>1833</v>
      </c>
    </row>
    <row r="140" customFormat="false" ht="15" hidden="false" customHeight="false" outlineLevel="0" collapsed="false">
      <c r="A140" s="8" t="n">
        <v>2010</v>
      </c>
      <c r="B140" s="8" t="s">
        <v>139</v>
      </c>
      <c r="C140" s="8" t="s">
        <v>214</v>
      </c>
      <c r="D140" s="8" t="s">
        <v>91</v>
      </c>
      <c r="E140" s="8"/>
      <c r="F140" s="8" t="n">
        <v>322</v>
      </c>
      <c r="G140" s="8" t="n">
        <v>298</v>
      </c>
      <c r="H140" s="8" t="n">
        <v>125</v>
      </c>
      <c r="I140" s="8" t="n">
        <v>119</v>
      </c>
      <c r="J140" s="8" t="n">
        <v>25</v>
      </c>
      <c r="K140" s="8" t="n">
        <v>65</v>
      </c>
      <c r="L140" s="8" t="n">
        <v>27</v>
      </c>
      <c r="M140" s="8" t="n">
        <v>39</v>
      </c>
      <c r="N140" s="8" t="n">
        <v>0</v>
      </c>
      <c r="O140" s="8" t="n">
        <v>5</v>
      </c>
      <c r="P140" s="8" t="n">
        <v>1025</v>
      </c>
      <c r="Q140" s="8" t="n">
        <v>14</v>
      </c>
      <c r="R140" s="8" t="n">
        <v>1039</v>
      </c>
      <c r="S140" s="8" t="n">
        <v>1210</v>
      </c>
    </row>
    <row r="141" customFormat="false" ht="15" hidden="false" customHeight="false" outlineLevel="0" collapsed="false">
      <c r="A141" s="8" t="n">
        <v>2010</v>
      </c>
      <c r="B141" s="8" t="s">
        <v>139</v>
      </c>
      <c r="C141" s="8" t="s">
        <v>223</v>
      </c>
      <c r="D141" s="8" t="s">
        <v>224</v>
      </c>
      <c r="E141" s="8" t="s">
        <v>218</v>
      </c>
      <c r="F141" s="8" t="n">
        <v>59</v>
      </c>
      <c r="G141" s="8" t="n">
        <v>41</v>
      </c>
      <c r="H141" s="8" t="n">
        <v>18</v>
      </c>
      <c r="I141" s="8" t="n">
        <v>19</v>
      </c>
      <c r="J141" s="8" t="n">
        <v>8</v>
      </c>
      <c r="K141" s="8" t="n">
        <v>3</v>
      </c>
      <c r="L141" s="8" t="n">
        <v>1</v>
      </c>
      <c r="M141" s="8" t="n">
        <v>13</v>
      </c>
      <c r="N141" s="8" t="n">
        <v>0</v>
      </c>
      <c r="O141" s="8" t="n">
        <v>3</v>
      </c>
      <c r="P141" s="8" t="n">
        <v>165</v>
      </c>
      <c r="Q141" s="8" t="n">
        <v>5</v>
      </c>
      <c r="R141" s="8" t="n">
        <v>170</v>
      </c>
      <c r="S141" s="8" t="n">
        <v>0</v>
      </c>
    </row>
    <row r="142" customFormat="false" ht="15" hidden="false" customHeight="false" outlineLevel="0" collapsed="false">
      <c r="A142" s="8" t="n">
        <v>2010</v>
      </c>
      <c r="B142" s="8" t="s">
        <v>139</v>
      </c>
      <c r="C142" s="8" t="s">
        <v>225</v>
      </c>
      <c r="D142" s="8" t="s">
        <v>224</v>
      </c>
      <c r="E142" s="8" t="s">
        <v>218</v>
      </c>
      <c r="F142" s="8" t="n">
        <v>21</v>
      </c>
      <c r="G142" s="8" t="n">
        <v>25</v>
      </c>
      <c r="H142" s="8" t="n">
        <v>11</v>
      </c>
      <c r="I142" s="8" t="n">
        <v>13</v>
      </c>
      <c r="J142" s="8" t="n">
        <v>9</v>
      </c>
      <c r="K142" s="8" t="n">
        <v>3</v>
      </c>
      <c r="L142" s="8" t="n">
        <v>6</v>
      </c>
      <c r="M142" s="8" t="n">
        <v>14</v>
      </c>
      <c r="N142" s="8" t="n">
        <v>0</v>
      </c>
      <c r="O142" s="8" t="n">
        <v>2</v>
      </c>
      <c r="P142" s="8" t="n">
        <v>104</v>
      </c>
      <c r="Q142" s="8" t="n">
        <v>4</v>
      </c>
      <c r="R142" s="8" t="n">
        <v>108</v>
      </c>
      <c r="S142" s="8" t="n">
        <v>0</v>
      </c>
    </row>
    <row r="143" customFormat="false" ht="15" hidden="false" customHeight="false" outlineLevel="0" collapsed="false">
      <c r="A143" s="8" t="n">
        <v>2014</v>
      </c>
      <c r="B143" s="8" t="s">
        <v>138</v>
      </c>
      <c r="C143" s="8" t="s">
        <v>172</v>
      </c>
      <c r="D143" s="8" t="s">
        <v>45</v>
      </c>
      <c r="E143" s="8"/>
      <c r="F143" s="8" t="n">
        <v>377</v>
      </c>
      <c r="G143" s="8" t="n">
        <v>62</v>
      </c>
      <c r="H143" s="8" t="n">
        <v>283</v>
      </c>
      <c r="I143" s="8" t="n">
        <v>469</v>
      </c>
      <c r="J143" s="8" t="n">
        <v>48</v>
      </c>
      <c r="K143" s="8" t="n">
        <v>18</v>
      </c>
      <c r="L143" s="8" t="n">
        <v>7</v>
      </c>
      <c r="M143" s="8" t="n">
        <v>42</v>
      </c>
      <c r="N143" s="8" t="n">
        <v>0</v>
      </c>
      <c r="O143" s="8" t="n">
        <v>31</v>
      </c>
      <c r="P143" s="8" t="n">
        <v>1337</v>
      </c>
      <c r="Q143" s="8" t="n">
        <v>11</v>
      </c>
      <c r="R143" s="8" t="n">
        <v>1348</v>
      </c>
      <c r="S143" s="8" t="n">
        <v>1761</v>
      </c>
    </row>
    <row r="144" customFormat="false" ht="15" hidden="false" customHeight="false" outlineLevel="0" collapsed="false">
      <c r="A144" s="8" t="n">
        <v>2014</v>
      </c>
      <c r="B144" s="8" t="s">
        <v>138</v>
      </c>
      <c r="C144" s="8" t="s">
        <v>174</v>
      </c>
      <c r="D144" s="8" t="s">
        <v>47</v>
      </c>
      <c r="E144" s="8"/>
      <c r="F144" s="8" t="n">
        <v>387</v>
      </c>
      <c r="G144" s="8" t="n">
        <v>61</v>
      </c>
      <c r="H144" s="8" t="n">
        <v>195</v>
      </c>
      <c r="I144" s="8" t="n">
        <v>308</v>
      </c>
      <c r="J144" s="8" t="n">
        <v>50</v>
      </c>
      <c r="K144" s="8" t="n">
        <v>21</v>
      </c>
      <c r="L144" s="8" t="n">
        <v>8</v>
      </c>
      <c r="M144" s="8" t="n">
        <v>50</v>
      </c>
      <c r="N144" s="8" t="n">
        <v>0</v>
      </c>
      <c r="O144" s="8" t="n">
        <v>46</v>
      </c>
      <c r="P144" s="8" t="n">
        <v>1126</v>
      </c>
      <c r="Q144" s="8" t="n">
        <v>11</v>
      </c>
      <c r="R144" s="8" t="n">
        <v>1137</v>
      </c>
      <c r="S144" s="8" t="n">
        <v>1509</v>
      </c>
    </row>
    <row r="145" customFormat="false" ht="15" hidden="false" customHeight="false" outlineLevel="0" collapsed="false">
      <c r="A145" s="8" t="n">
        <v>2014</v>
      </c>
      <c r="B145" s="8" t="s">
        <v>138</v>
      </c>
      <c r="C145" s="8" t="s">
        <v>176</v>
      </c>
      <c r="D145" s="8" t="s">
        <v>49</v>
      </c>
      <c r="E145" s="8"/>
      <c r="F145" s="8" t="n">
        <v>445</v>
      </c>
      <c r="G145" s="8" t="n">
        <v>74</v>
      </c>
      <c r="H145" s="8" t="n">
        <v>200</v>
      </c>
      <c r="I145" s="8" t="n">
        <v>224</v>
      </c>
      <c r="J145" s="8" t="n">
        <v>73</v>
      </c>
      <c r="K145" s="8" t="n">
        <v>19</v>
      </c>
      <c r="L145" s="8" t="n">
        <v>6</v>
      </c>
      <c r="M145" s="8" t="n">
        <v>48</v>
      </c>
      <c r="N145" s="8" t="n">
        <v>0</v>
      </c>
      <c r="O145" s="8" t="n">
        <v>55</v>
      </c>
      <c r="P145" s="8" t="n">
        <v>1144</v>
      </c>
      <c r="Q145" s="8" t="n">
        <v>11</v>
      </c>
      <c r="R145" s="8" t="n">
        <v>1156</v>
      </c>
      <c r="S145" s="8" t="n">
        <v>1761</v>
      </c>
    </row>
    <row r="146" customFormat="false" ht="15" hidden="false" customHeight="false" outlineLevel="0" collapsed="false">
      <c r="A146" s="8" t="n">
        <v>2014</v>
      </c>
      <c r="B146" s="8" t="s">
        <v>138</v>
      </c>
      <c r="C146" s="8" t="s">
        <v>178</v>
      </c>
      <c r="D146" s="8" t="s">
        <v>51</v>
      </c>
      <c r="E146" s="8"/>
      <c r="F146" s="8" t="n">
        <v>521</v>
      </c>
      <c r="G146" s="8" t="n">
        <v>58</v>
      </c>
      <c r="H146" s="8" t="n">
        <v>196</v>
      </c>
      <c r="I146" s="8" t="n">
        <v>128</v>
      </c>
      <c r="J146" s="8" t="n">
        <v>105</v>
      </c>
      <c r="K146" s="8" t="n">
        <v>11</v>
      </c>
      <c r="L146" s="8" t="n">
        <v>8</v>
      </c>
      <c r="M146" s="8" t="n">
        <v>55</v>
      </c>
      <c r="N146" s="8" t="n">
        <v>0</v>
      </c>
      <c r="O146" s="8" t="n">
        <v>40</v>
      </c>
      <c r="P146" s="8" t="n">
        <v>1122</v>
      </c>
      <c r="Q146" s="8" t="n">
        <v>8</v>
      </c>
      <c r="R146" s="8" t="n">
        <v>1134</v>
      </c>
      <c r="S146" s="8" t="n">
        <v>1764</v>
      </c>
    </row>
    <row r="147" customFormat="false" ht="15" hidden="false" customHeight="false" outlineLevel="0" collapsed="false">
      <c r="A147" s="8" t="n">
        <v>2014</v>
      </c>
      <c r="B147" s="8" t="s">
        <v>138</v>
      </c>
      <c r="C147" s="8" t="s">
        <v>180</v>
      </c>
      <c r="D147" s="8" t="s">
        <v>53</v>
      </c>
      <c r="E147" s="8"/>
      <c r="F147" s="8" t="n">
        <v>484</v>
      </c>
      <c r="G147" s="8" t="n">
        <v>51</v>
      </c>
      <c r="H147" s="8" t="n">
        <v>165</v>
      </c>
      <c r="I147" s="8" t="n">
        <v>132</v>
      </c>
      <c r="J147" s="8" t="n">
        <v>66</v>
      </c>
      <c r="K147" s="8" t="n">
        <v>14</v>
      </c>
      <c r="L147" s="8" t="n">
        <v>7</v>
      </c>
      <c r="M147" s="8" t="n">
        <v>31</v>
      </c>
      <c r="N147" s="8" t="n">
        <v>0</v>
      </c>
      <c r="O147" s="8" t="n">
        <v>43</v>
      </c>
      <c r="P147" s="8" t="n">
        <v>993</v>
      </c>
      <c r="Q147" s="8" t="n">
        <v>9</v>
      </c>
      <c r="R147" s="8" t="n">
        <v>1002</v>
      </c>
      <c r="S147" s="8" t="n">
        <v>1687</v>
      </c>
    </row>
    <row r="148" customFormat="false" ht="15" hidden="false" customHeight="false" outlineLevel="0" collapsed="false">
      <c r="A148" s="8" t="n">
        <v>2014</v>
      </c>
      <c r="B148" s="8" t="s">
        <v>138</v>
      </c>
      <c r="C148" s="8" t="s">
        <v>182</v>
      </c>
      <c r="D148" s="8" t="s">
        <v>55</v>
      </c>
      <c r="E148" s="8"/>
      <c r="F148" s="8" t="n">
        <v>520</v>
      </c>
      <c r="G148" s="8" t="n">
        <v>40</v>
      </c>
      <c r="H148" s="8" t="n">
        <v>201</v>
      </c>
      <c r="I148" s="8" t="n">
        <v>184</v>
      </c>
      <c r="J148" s="8" t="n">
        <v>69</v>
      </c>
      <c r="K148" s="8" t="n">
        <v>9</v>
      </c>
      <c r="L148" s="8" t="n">
        <v>2</v>
      </c>
      <c r="M148" s="8" t="n">
        <v>55</v>
      </c>
      <c r="N148" s="8" t="n">
        <v>0</v>
      </c>
      <c r="O148" s="8" t="n">
        <v>36</v>
      </c>
      <c r="P148" s="8" t="n">
        <v>1116</v>
      </c>
      <c r="Q148" s="8" t="n">
        <v>13</v>
      </c>
      <c r="R148" s="8" t="n">
        <v>1130</v>
      </c>
      <c r="S148" s="8" t="n">
        <v>1686</v>
      </c>
    </row>
    <row r="149" customFormat="false" ht="15" hidden="false" customHeight="false" outlineLevel="0" collapsed="false">
      <c r="A149" s="8" t="n">
        <v>2014</v>
      </c>
      <c r="B149" s="8" t="s">
        <v>138</v>
      </c>
      <c r="C149" s="8" t="s">
        <v>184</v>
      </c>
      <c r="D149" s="8" t="s">
        <v>57</v>
      </c>
      <c r="E149" s="8"/>
      <c r="F149" s="8" t="n">
        <v>511</v>
      </c>
      <c r="G149" s="8" t="n">
        <v>67</v>
      </c>
      <c r="H149" s="8" t="n">
        <v>217</v>
      </c>
      <c r="I149" s="8" t="n">
        <v>294</v>
      </c>
      <c r="J149" s="8" t="n">
        <v>59</v>
      </c>
      <c r="K149" s="8" t="n">
        <v>20</v>
      </c>
      <c r="L149" s="8" t="n">
        <v>9</v>
      </c>
      <c r="M149" s="8" t="n">
        <v>50</v>
      </c>
      <c r="N149" s="8" t="n">
        <v>0</v>
      </c>
      <c r="O149" s="8" t="n">
        <v>41</v>
      </c>
      <c r="P149" s="8" t="n">
        <v>1268</v>
      </c>
      <c r="Q149" s="8" t="n">
        <v>19</v>
      </c>
      <c r="R149" s="8" t="n">
        <v>1287</v>
      </c>
      <c r="S149" s="8" t="n">
        <v>1789</v>
      </c>
    </row>
    <row r="150" customFormat="false" ht="15" hidden="false" customHeight="false" outlineLevel="0" collapsed="false">
      <c r="A150" s="8" t="n">
        <v>2014</v>
      </c>
      <c r="B150" s="8" t="s">
        <v>138</v>
      </c>
      <c r="C150" s="8" t="s">
        <v>186</v>
      </c>
      <c r="D150" s="8" t="s">
        <v>59</v>
      </c>
      <c r="E150" s="8"/>
      <c r="F150" s="8" t="n">
        <v>477</v>
      </c>
      <c r="G150" s="8" t="n">
        <v>34</v>
      </c>
      <c r="H150" s="8" t="n">
        <v>236</v>
      </c>
      <c r="I150" s="8" t="n">
        <v>156</v>
      </c>
      <c r="J150" s="8" t="n">
        <v>51</v>
      </c>
      <c r="K150" s="8" t="n">
        <v>20</v>
      </c>
      <c r="L150" s="8" t="n">
        <v>7</v>
      </c>
      <c r="M150" s="8" t="n">
        <v>67</v>
      </c>
      <c r="N150" s="8" t="n">
        <v>0</v>
      </c>
      <c r="O150" s="8" t="n">
        <v>33</v>
      </c>
      <c r="P150" s="8" t="n">
        <v>1081</v>
      </c>
      <c r="Q150" s="8" t="n">
        <v>7</v>
      </c>
      <c r="R150" s="8" t="n">
        <v>1088</v>
      </c>
      <c r="S150" s="8" t="n">
        <v>1556</v>
      </c>
    </row>
    <row r="151" customFormat="false" ht="15" hidden="false" customHeight="false" outlineLevel="0" collapsed="false">
      <c r="A151" s="8" t="n">
        <v>2014</v>
      </c>
      <c r="B151" s="8" t="s">
        <v>138</v>
      </c>
      <c r="C151" s="8" t="s">
        <v>188</v>
      </c>
      <c r="D151" s="8" t="s">
        <v>61</v>
      </c>
      <c r="E151" s="8"/>
      <c r="F151" s="8" t="n">
        <v>444</v>
      </c>
      <c r="G151" s="8" t="n">
        <v>50</v>
      </c>
      <c r="H151" s="8" t="n">
        <v>224</v>
      </c>
      <c r="I151" s="8" t="n">
        <v>264</v>
      </c>
      <c r="J151" s="8" t="n">
        <v>45</v>
      </c>
      <c r="K151" s="8" t="n">
        <v>15</v>
      </c>
      <c r="L151" s="8" t="n">
        <v>6</v>
      </c>
      <c r="M151" s="8" t="n">
        <v>46</v>
      </c>
      <c r="N151" s="8" t="n">
        <v>0</v>
      </c>
      <c r="O151" s="8" t="n">
        <v>32</v>
      </c>
      <c r="P151" s="8" t="n">
        <v>1126</v>
      </c>
      <c r="Q151" s="8" t="n">
        <v>15</v>
      </c>
      <c r="R151" s="8" t="n">
        <v>1141</v>
      </c>
      <c r="S151" s="8" t="n">
        <v>1462</v>
      </c>
    </row>
    <row r="152" customFormat="false" ht="15" hidden="false" customHeight="false" outlineLevel="0" collapsed="false">
      <c r="A152" s="8" t="n">
        <v>2014</v>
      </c>
      <c r="B152" s="8" t="s">
        <v>138</v>
      </c>
      <c r="C152" s="8" t="s">
        <v>190</v>
      </c>
      <c r="D152" s="8" t="s">
        <v>63</v>
      </c>
      <c r="E152" s="8"/>
      <c r="F152" s="8" t="n">
        <v>414</v>
      </c>
      <c r="G152" s="8" t="n">
        <v>28</v>
      </c>
      <c r="H152" s="8" t="n">
        <v>239</v>
      </c>
      <c r="I152" s="8" t="n">
        <v>100</v>
      </c>
      <c r="J152" s="8" t="n">
        <v>39</v>
      </c>
      <c r="K152" s="8" t="n">
        <v>12</v>
      </c>
      <c r="L152" s="8" t="n">
        <v>3</v>
      </c>
      <c r="M152" s="8" t="n">
        <v>33</v>
      </c>
      <c r="N152" s="8" t="n">
        <v>0</v>
      </c>
      <c r="O152" s="8" t="n">
        <v>22</v>
      </c>
      <c r="P152" s="8" t="n">
        <v>890</v>
      </c>
      <c r="Q152" s="8" t="n">
        <v>6</v>
      </c>
      <c r="R152" s="8" t="n">
        <v>896</v>
      </c>
      <c r="S152" s="8" t="n">
        <v>1090</v>
      </c>
    </row>
    <row r="153" customFormat="false" ht="15" hidden="false" customHeight="false" outlineLevel="0" collapsed="false">
      <c r="A153" s="8" t="n">
        <v>2014</v>
      </c>
      <c r="B153" s="8" t="s">
        <v>138</v>
      </c>
      <c r="C153" s="8" t="s">
        <v>192</v>
      </c>
      <c r="D153" s="8" t="s">
        <v>65</v>
      </c>
      <c r="E153" s="8"/>
      <c r="F153" s="8" t="n">
        <v>423</v>
      </c>
      <c r="G153" s="8" t="n">
        <v>55</v>
      </c>
      <c r="H153" s="8" t="n">
        <v>146</v>
      </c>
      <c r="I153" s="8" t="n">
        <v>239</v>
      </c>
      <c r="J153" s="8" t="n">
        <v>26</v>
      </c>
      <c r="K153" s="8" t="n">
        <v>16</v>
      </c>
      <c r="L153" s="8" t="n">
        <v>8</v>
      </c>
      <c r="M153" s="8" t="n">
        <v>34</v>
      </c>
      <c r="N153" s="8" t="n">
        <v>0</v>
      </c>
      <c r="O153" s="8" t="n">
        <v>29</v>
      </c>
      <c r="P153" s="8" t="n">
        <v>976</v>
      </c>
      <c r="Q153" s="8" t="n">
        <v>9</v>
      </c>
      <c r="R153" s="8" t="n">
        <v>985</v>
      </c>
      <c r="S153" s="8" t="n">
        <v>1140</v>
      </c>
    </row>
    <row r="154" customFormat="false" ht="15" hidden="false" customHeight="false" outlineLevel="0" collapsed="false">
      <c r="A154" s="8" t="n">
        <v>2014</v>
      </c>
      <c r="B154" s="8" t="s">
        <v>138</v>
      </c>
      <c r="C154" s="8" t="s">
        <v>194</v>
      </c>
      <c r="D154" s="8" t="s">
        <v>67</v>
      </c>
      <c r="E154" s="8"/>
      <c r="F154" s="8" t="n">
        <v>471</v>
      </c>
      <c r="G154" s="8" t="n">
        <v>21</v>
      </c>
      <c r="H154" s="8" t="n">
        <v>96</v>
      </c>
      <c r="I154" s="8" t="n">
        <v>36</v>
      </c>
      <c r="J154" s="8" t="n">
        <v>144</v>
      </c>
      <c r="K154" s="8" t="n">
        <v>1</v>
      </c>
      <c r="L154" s="8" t="n">
        <v>4</v>
      </c>
      <c r="M154" s="8" t="n">
        <v>28</v>
      </c>
      <c r="N154" s="8" t="n">
        <v>0</v>
      </c>
      <c r="O154" s="8" t="n">
        <v>22</v>
      </c>
      <c r="P154" s="8" t="n">
        <v>823</v>
      </c>
      <c r="Q154" s="8" t="n">
        <v>4</v>
      </c>
      <c r="R154" s="8" t="n">
        <v>828</v>
      </c>
      <c r="S154" s="8" t="n">
        <v>1534</v>
      </c>
    </row>
    <row r="155" customFormat="false" ht="15" hidden="false" customHeight="false" outlineLevel="0" collapsed="false">
      <c r="A155" s="8" t="n">
        <v>2014</v>
      </c>
      <c r="B155" s="8" t="s">
        <v>138</v>
      </c>
      <c r="C155" s="8" t="s">
        <v>196</v>
      </c>
      <c r="D155" s="8" t="s">
        <v>69</v>
      </c>
      <c r="E155" s="8"/>
      <c r="F155" s="8" t="n">
        <v>531</v>
      </c>
      <c r="G155" s="8" t="n">
        <v>39</v>
      </c>
      <c r="H155" s="8" t="n">
        <v>115</v>
      </c>
      <c r="I155" s="8" t="n">
        <v>141</v>
      </c>
      <c r="J155" s="8" t="n">
        <v>51</v>
      </c>
      <c r="K155" s="8" t="n">
        <v>12</v>
      </c>
      <c r="L155" s="8" t="n">
        <v>5</v>
      </c>
      <c r="M155" s="8" t="n">
        <v>38</v>
      </c>
      <c r="N155" s="8" t="n">
        <v>0</v>
      </c>
      <c r="O155" s="8" t="n">
        <v>30</v>
      </c>
      <c r="P155" s="8" t="n">
        <v>962</v>
      </c>
      <c r="Q155" s="8" t="n">
        <v>7</v>
      </c>
      <c r="R155" s="8" t="n">
        <v>969</v>
      </c>
      <c r="S155" s="8" t="n">
        <v>1414</v>
      </c>
    </row>
    <row r="156" customFormat="false" ht="15" hidden="false" customHeight="false" outlineLevel="0" collapsed="false">
      <c r="A156" s="8" t="n">
        <v>2014</v>
      </c>
      <c r="B156" s="8" t="s">
        <v>138</v>
      </c>
      <c r="C156" s="8" t="s">
        <v>198</v>
      </c>
      <c r="D156" s="8" t="s">
        <v>71</v>
      </c>
      <c r="E156" s="8"/>
      <c r="F156" s="8" t="n">
        <v>445</v>
      </c>
      <c r="G156" s="8" t="n">
        <v>85</v>
      </c>
      <c r="H156" s="8" t="n">
        <v>213</v>
      </c>
      <c r="I156" s="8" t="n">
        <v>547</v>
      </c>
      <c r="J156" s="8" t="n">
        <v>24</v>
      </c>
      <c r="K156" s="8" t="n">
        <v>20</v>
      </c>
      <c r="L156" s="8" t="n">
        <v>2</v>
      </c>
      <c r="M156" s="8" t="n">
        <v>30</v>
      </c>
      <c r="N156" s="8" t="n">
        <v>0</v>
      </c>
      <c r="O156" s="8" t="n">
        <v>26</v>
      </c>
      <c r="P156" s="8" t="n">
        <v>1392</v>
      </c>
      <c r="Q156" s="8" t="n">
        <v>9</v>
      </c>
      <c r="R156" s="8" t="n">
        <v>1402</v>
      </c>
      <c r="S156" s="8" t="n">
        <v>1575</v>
      </c>
    </row>
    <row r="157" customFormat="false" ht="15" hidden="false" customHeight="false" outlineLevel="0" collapsed="false">
      <c r="A157" s="8" t="n">
        <v>2014</v>
      </c>
      <c r="B157" s="8" t="s">
        <v>138</v>
      </c>
      <c r="C157" s="8" t="s">
        <v>200</v>
      </c>
      <c r="D157" s="8" t="s">
        <v>219</v>
      </c>
      <c r="E157" s="8"/>
      <c r="F157" s="8" t="n">
        <v>576</v>
      </c>
      <c r="G157" s="8" t="n">
        <v>55</v>
      </c>
      <c r="H157" s="8" t="n">
        <v>255</v>
      </c>
      <c r="I157" s="8" t="n">
        <v>308</v>
      </c>
      <c r="J157" s="8" t="n">
        <v>30</v>
      </c>
      <c r="K157" s="8" t="n">
        <v>18</v>
      </c>
      <c r="L157" s="8" t="n">
        <v>3</v>
      </c>
      <c r="M157" s="8" t="n">
        <v>34</v>
      </c>
      <c r="N157" s="8" t="n">
        <v>0</v>
      </c>
      <c r="O157" s="8" t="n">
        <v>27</v>
      </c>
      <c r="P157" s="8" t="n">
        <v>1306</v>
      </c>
      <c r="Q157" s="8" t="n">
        <v>17</v>
      </c>
      <c r="R157" s="8" t="n">
        <v>1323</v>
      </c>
      <c r="S157" s="8" t="n">
        <v>1524</v>
      </c>
    </row>
    <row r="158" customFormat="false" ht="15" hidden="false" customHeight="false" outlineLevel="0" collapsed="false">
      <c r="A158" s="8" t="n">
        <v>2014</v>
      </c>
      <c r="B158" s="8" t="s">
        <v>138</v>
      </c>
      <c r="C158" s="8" t="s">
        <v>202</v>
      </c>
      <c r="D158" s="8" t="s">
        <v>75</v>
      </c>
      <c r="E158" s="8"/>
      <c r="F158" s="8" t="n">
        <v>226</v>
      </c>
      <c r="G158" s="8" t="n">
        <v>113</v>
      </c>
      <c r="H158" s="8" t="n">
        <v>155</v>
      </c>
      <c r="I158" s="8" t="n">
        <v>738</v>
      </c>
      <c r="J158" s="8" t="n">
        <v>11</v>
      </c>
      <c r="K158" s="8" t="n">
        <v>21</v>
      </c>
      <c r="L158" s="8" t="n">
        <v>6</v>
      </c>
      <c r="M158" s="8" t="n">
        <v>21</v>
      </c>
      <c r="N158" s="8" t="n">
        <v>0</v>
      </c>
      <c r="O158" s="8" t="n">
        <v>20</v>
      </c>
      <c r="P158" s="8" t="n">
        <v>1311</v>
      </c>
      <c r="Q158" s="8" t="n">
        <v>15</v>
      </c>
      <c r="R158" s="8" t="n">
        <v>1326</v>
      </c>
      <c r="S158" s="8" t="n">
        <v>1443</v>
      </c>
    </row>
    <row r="159" customFormat="false" ht="15" hidden="false" customHeight="false" outlineLevel="0" collapsed="false">
      <c r="A159" s="8" t="n">
        <v>2014</v>
      </c>
      <c r="B159" s="8" t="s">
        <v>138</v>
      </c>
      <c r="C159" s="8" t="s">
        <v>204</v>
      </c>
      <c r="D159" s="8" t="s">
        <v>81</v>
      </c>
      <c r="E159" s="8"/>
      <c r="F159" s="8" t="n">
        <v>55</v>
      </c>
      <c r="G159" s="8" t="n">
        <v>28</v>
      </c>
      <c r="H159" s="8" t="n">
        <v>42</v>
      </c>
      <c r="I159" s="8" t="n">
        <v>73</v>
      </c>
      <c r="J159" s="8" t="n">
        <v>14</v>
      </c>
      <c r="K159" s="8" t="n">
        <v>54</v>
      </c>
      <c r="L159" s="8" t="n">
        <v>3</v>
      </c>
      <c r="M159" s="8" t="n">
        <v>5</v>
      </c>
      <c r="N159" s="8" t="n">
        <v>0</v>
      </c>
      <c r="O159" s="8" t="n">
        <v>9</v>
      </c>
      <c r="P159" s="8" t="n">
        <v>283</v>
      </c>
      <c r="Q159" s="8" t="n">
        <v>2</v>
      </c>
      <c r="R159" s="8" t="n">
        <v>285</v>
      </c>
      <c r="S159" s="8" t="n">
        <v>325</v>
      </c>
    </row>
    <row r="160" customFormat="false" ht="15" hidden="false" customHeight="false" outlineLevel="0" collapsed="false">
      <c r="A160" s="8" t="n">
        <v>2014</v>
      </c>
      <c r="B160" s="8" t="s">
        <v>138</v>
      </c>
      <c r="C160" s="8" t="s">
        <v>206</v>
      </c>
      <c r="D160" s="8" t="s">
        <v>220</v>
      </c>
      <c r="E160" s="8"/>
      <c r="F160" s="8" t="n">
        <v>229</v>
      </c>
      <c r="G160" s="8" t="n">
        <v>195</v>
      </c>
      <c r="H160" s="8" t="n">
        <v>299</v>
      </c>
      <c r="I160" s="8" t="n">
        <v>357</v>
      </c>
      <c r="J160" s="8" t="n">
        <v>34</v>
      </c>
      <c r="K160" s="8" t="n">
        <v>83</v>
      </c>
      <c r="L160" s="8" t="n">
        <v>9</v>
      </c>
      <c r="M160" s="8" t="n">
        <v>61</v>
      </c>
      <c r="N160" s="8" t="n">
        <v>0</v>
      </c>
      <c r="O160" s="8" t="n">
        <v>26</v>
      </c>
      <c r="P160" s="8" t="n">
        <v>1293</v>
      </c>
      <c r="Q160" s="8" t="n">
        <v>16</v>
      </c>
      <c r="R160" s="8" t="n">
        <v>1310</v>
      </c>
      <c r="S160" s="8" t="n">
        <v>1544</v>
      </c>
    </row>
    <row r="161" customFormat="false" ht="15" hidden="false" customHeight="false" outlineLevel="0" collapsed="false">
      <c r="A161" s="8" t="n">
        <v>2014</v>
      </c>
      <c r="B161" s="8" t="s">
        <v>138</v>
      </c>
      <c r="C161" s="8" t="s">
        <v>208</v>
      </c>
      <c r="D161" s="8" t="s">
        <v>221</v>
      </c>
      <c r="E161" s="8"/>
      <c r="F161" s="8" t="n">
        <v>475</v>
      </c>
      <c r="G161" s="8" t="n">
        <v>186</v>
      </c>
      <c r="H161" s="8" t="n">
        <v>401</v>
      </c>
      <c r="I161" s="8" t="n">
        <v>587</v>
      </c>
      <c r="J161" s="8" t="n">
        <v>30</v>
      </c>
      <c r="K161" s="8" t="n">
        <v>30</v>
      </c>
      <c r="L161" s="8" t="n">
        <v>17</v>
      </c>
      <c r="M161" s="8" t="n">
        <v>48</v>
      </c>
      <c r="N161" s="8" t="n">
        <v>0</v>
      </c>
      <c r="O161" s="8" t="n">
        <v>23</v>
      </c>
      <c r="P161" s="8" t="n">
        <v>1797</v>
      </c>
      <c r="Q161" s="8" t="n">
        <v>16</v>
      </c>
      <c r="R161" s="8" t="n">
        <v>1813</v>
      </c>
      <c r="S161" s="8" t="n">
        <v>2035</v>
      </c>
    </row>
    <row r="162" customFormat="false" ht="15" hidden="false" customHeight="false" outlineLevel="0" collapsed="false">
      <c r="A162" s="8" t="n">
        <v>2014</v>
      </c>
      <c r="B162" s="8" t="s">
        <v>138</v>
      </c>
      <c r="C162" s="8" t="s">
        <v>210</v>
      </c>
      <c r="D162" s="8" t="s">
        <v>89</v>
      </c>
      <c r="E162" s="8"/>
      <c r="F162" s="8" t="n">
        <v>399</v>
      </c>
      <c r="G162" s="8" t="n">
        <v>146</v>
      </c>
      <c r="H162" s="8" t="n">
        <v>423</v>
      </c>
      <c r="I162" s="8" t="n">
        <v>392</v>
      </c>
      <c r="J162" s="8" t="n">
        <v>35</v>
      </c>
      <c r="K162" s="8" t="n">
        <v>59</v>
      </c>
      <c r="L162" s="8" t="n">
        <v>15</v>
      </c>
      <c r="M162" s="8" t="n">
        <v>42</v>
      </c>
      <c r="N162" s="8" t="n">
        <v>0</v>
      </c>
      <c r="O162" s="8" t="n">
        <v>28</v>
      </c>
      <c r="P162" s="8" t="n">
        <v>1539</v>
      </c>
      <c r="Q162" s="8" t="n">
        <v>13</v>
      </c>
      <c r="R162" s="8" t="n">
        <v>1552</v>
      </c>
      <c r="S162" s="8" t="n">
        <v>1874</v>
      </c>
    </row>
    <row r="163" customFormat="false" ht="15" hidden="false" customHeight="false" outlineLevel="0" collapsed="false">
      <c r="A163" s="8" t="n">
        <v>2014</v>
      </c>
      <c r="B163" s="8" t="s">
        <v>138</v>
      </c>
      <c r="C163" s="8" t="s">
        <v>212</v>
      </c>
      <c r="D163" s="8" t="s">
        <v>222</v>
      </c>
      <c r="E163" s="8"/>
      <c r="F163" s="8" t="n">
        <v>271</v>
      </c>
      <c r="G163" s="8" t="n">
        <v>254</v>
      </c>
      <c r="H163" s="8" t="n">
        <v>221</v>
      </c>
      <c r="I163" s="8" t="n">
        <v>685</v>
      </c>
      <c r="J163" s="8" t="n">
        <v>29</v>
      </c>
      <c r="K163" s="8" t="n">
        <v>74</v>
      </c>
      <c r="L163" s="8" t="n">
        <v>27</v>
      </c>
      <c r="M163" s="8" t="n">
        <v>85</v>
      </c>
      <c r="N163" s="8" t="n">
        <v>0</v>
      </c>
      <c r="O163" s="8" t="n">
        <v>27</v>
      </c>
      <c r="P163" s="8" t="n">
        <v>1673</v>
      </c>
      <c r="Q163" s="8" t="n">
        <v>9</v>
      </c>
      <c r="R163" s="8" t="n">
        <v>1682</v>
      </c>
      <c r="S163" s="8" t="n">
        <v>1867</v>
      </c>
    </row>
    <row r="164" customFormat="false" ht="15" hidden="false" customHeight="false" outlineLevel="0" collapsed="false">
      <c r="A164" s="8" t="n">
        <v>2014</v>
      </c>
      <c r="B164" s="8" t="s">
        <v>138</v>
      </c>
      <c r="C164" s="8" t="s">
        <v>214</v>
      </c>
      <c r="D164" s="8" t="s">
        <v>91</v>
      </c>
      <c r="E164" s="8"/>
      <c r="F164" s="8" t="n">
        <v>260</v>
      </c>
      <c r="G164" s="8" t="n">
        <v>114</v>
      </c>
      <c r="H164" s="8" t="n">
        <v>272</v>
      </c>
      <c r="I164" s="8" t="n">
        <v>245</v>
      </c>
      <c r="J164" s="8" t="n">
        <v>31</v>
      </c>
      <c r="K164" s="8" t="n">
        <v>49</v>
      </c>
      <c r="L164" s="8" t="n">
        <v>2</v>
      </c>
      <c r="M164" s="8" t="n">
        <v>40</v>
      </c>
      <c r="N164" s="8" t="n">
        <v>0</v>
      </c>
      <c r="O164" s="8" t="n">
        <v>31</v>
      </c>
      <c r="P164" s="8" t="n">
        <v>1044</v>
      </c>
      <c r="Q164" s="8" t="n">
        <v>9</v>
      </c>
      <c r="R164" s="8" t="n">
        <v>1053</v>
      </c>
      <c r="S164" s="8" t="n">
        <v>1226</v>
      </c>
    </row>
    <row r="165" customFormat="false" ht="15" hidden="false" customHeight="false" outlineLevel="0" collapsed="false">
      <c r="A165" s="8" t="n">
        <v>2014</v>
      </c>
      <c r="B165" s="8" t="s">
        <v>138</v>
      </c>
      <c r="C165" s="8" t="s">
        <v>228</v>
      </c>
      <c r="D165" s="8" t="s">
        <v>14</v>
      </c>
      <c r="E165" s="8" t="s">
        <v>218</v>
      </c>
      <c r="F165" s="8" t="n">
        <v>56</v>
      </c>
      <c r="G165" s="8" t="n">
        <v>20</v>
      </c>
      <c r="H165" s="8" t="n">
        <v>23</v>
      </c>
      <c r="I165" s="8" t="n">
        <v>25</v>
      </c>
      <c r="J165" s="8" t="n">
        <v>7</v>
      </c>
      <c r="K165" s="8" t="n">
        <v>4</v>
      </c>
      <c r="L165" s="8" t="n">
        <v>1</v>
      </c>
      <c r="M165" s="8" t="n">
        <v>15</v>
      </c>
      <c r="N165" s="8" t="n">
        <v>0</v>
      </c>
      <c r="O165" s="8" t="n">
        <v>6</v>
      </c>
      <c r="P165" s="8" t="n">
        <v>157</v>
      </c>
      <c r="Q165" s="8" t="n">
        <v>2</v>
      </c>
      <c r="R165" s="8" t="n">
        <v>160</v>
      </c>
      <c r="S165" s="8" t="n">
        <v>0</v>
      </c>
    </row>
    <row r="166" customFormat="false" ht="15" hidden="false" customHeight="false" outlineLevel="0" collapsed="false">
      <c r="A166" s="8" t="n">
        <v>2014</v>
      </c>
      <c r="B166" s="8" t="s">
        <v>138</v>
      </c>
      <c r="C166" s="8" t="s">
        <v>229</v>
      </c>
      <c r="D166" s="8" t="s">
        <v>14</v>
      </c>
      <c r="E166" s="8" t="s">
        <v>218</v>
      </c>
      <c r="F166" s="8" t="n">
        <v>40</v>
      </c>
      <c r="G166" s="8" t="n">
        <v>18</v>
      </c>
      <c r="H166" s="8" t="n">
        <v>19</v>
      </c>
      <c r="I166" s="8" t="n">
        <v>36</v>
      </c>
      <c r="J166" s="8" t="n">
        <v>9</v>
      </c>
      <c r="K166" s="8" t="n">
        <v>2</v>
      </c>
      <c r="L166" s="8" t="n">
        <v>2</v>
      </c>
      <c r="M166" s="8" t="n">
        <v>12</v>
      </c>
      <c r="N166" s="8" t="n">
        <v>0</v>
      </c>
      <c r="O166" s="8" t="n">
        <v>8</v>
      </c>
      <c r="P166" s="8" t="n">
        <v>146</v>
      </c>
      <c r="Q166" s="8" t="n">
        <v>3</v>
      </c>
      <c r="R166" s="8" t="n">
        <v>149</v>
      </c>
      <c r="S166" s="8" t="n">
        <v>0</v>
      </c>
    </row>
    <row r="167" customFormat="false" ht="15" hidden="false" customHeight="false" outlineLevel="0" collapsed="false">
      <c r="A167" s="8" t="n">
        <v>2014</v>
      </c>
      <c r="B167" s="8" t="s">
        <v>140</v>
      </c>
      <c r="C167" s="8" t="s">
        <v>172</v>
      </c>
      <c r="D167" s="8" t="s">
        <v>45</v>
      </c>
      <c r="E167" s="8"/>
      <c r="F167" s="8" t="n">
        <v>419</v>
      </c>
      <c r="G167" s="8" t="n">
        <v>293</v>
      </c>
      <c r="H167" s="8" t="n">
        <v>273</v>
      </c>
      <c r="I167" s="8" t="n">
        <v>114</v>
      </c>
      <c r="J167" s="8" t="n">
        <v>49</v>
      </c>
      <c r="K167" s="8" t="n">
        <v>37</v>
      </c>
      <c r="L167" s="8" t="n">
        <v>20</v>
      </c>
      <c r="M167" s="8" t="n">
        <v>65</v>
      </c>
      <c r="N167" s="8" t="n">
        <v>0</v>
      </c>
      <c r="O167" s="8" t="n">
        <v>35</v>
      </c>
      <c r="P167" s="8" t="n">
        <v>1305</v>
      </c>
      <c r="Q167" s="8" t="n">
        <v>9</v>
      </c>
      <c r="R167" s="8" t="n">
        <v>1314</v>
      </c>
      <c r="S167" s="8" t="n">
        <v>1721</v>
      </c>
    </row>
    <row r="168" customFormat="false" ht="15" hidden="false" customHeight="false" outlineLevel="0" collapsed="false">
      <c r="A168" s="8" t="n">
        <v>2014</v>
      </c>
      <c r="B168" s="8" t="s">
        <v>140</v>
      </c>
      <c r="C168" s="8" t="s">
        <v>174</v>
      </c>
      <c r="D168" s="8" t="s">
        <v>47</v>
      </c>
      <c r="E168" s="8"/>
      <c r="F168" s="8" t="n">
        <v>428</v>
      </c>
      <c r="G168" s="8" t="n">
        <v>196</v>
      </c>
      <c r="H168" s="8" t="n">
        <v>192</v>
      </c>
      <c r="I168" s="8" t="n">
        <v>68</v>
      </c>
      <c r="J168" s="8" t="n">
        <v>47</v>
      </c>
      <c r="K168" s="8" t="n">
        <v>20</v>
      </c>
      <c r="L168" s="8" t="n">
        <v>35</v>
      </c>
      <c r="M168" s="8" t="n">
        <v>63</v>
      </c>
      <c r="N168" s="8" t="n">
        <v>0</v>
      </c>
      <c r="O168" s="8" t="n">
        <v>43</v>
      </c>
      <c r="P168" s="8" t="n">
        <v>1092</v>
      </c>
      <c r="Q168" s="8" t="n">
        <v>12</v>
      </c>
      <c r="R168" s="8" t="n">
        <v>1105</v>
      </c>
      <c r="S168" s="8" t="n">
        <v>1411</v>
      </c>
    </row>
    <row r="169" customFormat="false" ht="15" hidden="false" customHeight="false" outlineLevel="0" collapsed="false">
      <c r="A169" s="8" t="n">
        <v>2014</v>
      </c>
      <c r="B169" s="8" t="s">
        <v>140</v>
      </c>
      <c r="C169" s="8" t="s">
        <v>176</v>
      </c>
      <c r="D169" s="8" t="s">
        <v>49</v>
      </c>
      <c r="E169" s="8"/>
      <c r="F169" s="8" t="n">
        <v>453</v>
      </c>
      <c r="G169" s="8" t="n">
        <v>174</v>
      </c>
      <c r="H169" s="8" t="n">
        <v>195</v>
      </c>
      <c r="I169" s="8" t="n">
        <v>65</v>
      </c>
      <c r="J169" s="8" t="n">
        <v>69</v>
      </c>
      <c r="K169" s="8" t="n">
        <v>17</v>
      </c>
      <c r="L169" s="8" t="n">
        <v>15</v>
      </c>
      <c r="M169" s="8" t="n">
        <v>56</v>
      </c>
      <c r="N169" s="8" t="n">
        <v>0</v>
      </c>
      <c r="O169" s="8" t="n">
        <v>54</v>
      </c>
      <c r="P169" s="8" t="n">
        <v>1098</v>
      </c>
      <c r="Q169" s="8" t="n">
        <v>9</v>
      </c>
      <c r="R169" s="8" t="n">
        <v>1110</v>
      </c>
      <c r="S169" s="8" t="n">
        <v>1556</v>
      </c>
    </row>
    <row r="170" customFormat="false" ht="15" hidden="false" customHeight="false" outlineLevel="0" collapsed="false">
      <c r="A170" s="8" t="n">
        <v>2014</v>
      </c>
      <c r="B170" s="8" t="s">
        <v>140</v>
      </c>
      <c r="C170" s="8" t="s">
        <v>178</v>
      </c>
      <c r="D170" s="8" t="s">
        <v>51</v>
      </c>
      <c r="E170" s="8"/>
      <c r="F170" s="8" t="n">
        <v>539</v>
      </c>
      <c r="G170" s="8" t="n">
        <v>95</v>
      </c>
      <c r="H170" s="8" t="n">
        <v>181</v>
      </c>
      <c r="I170" s="8" t="n">
        <v>40</v>
      </c>
      <c r="J170" s="8" t="n">
        <v>80</v>
      </c>
      <c r="K170" s="8" t="n">
        <v>22</v>
      </c>
      <c r="L170" s="8" t="n">
        <v>11</v>
      </c>
      <c r="M170" s="8" t="n">
        <v>55</v>
      </c>
      <c r="N170" s="8" t="n">
        <v>0</v>
      </c>
      <c r="O170" s="8" t="n">
        <v>46</v>
      </c>
      <c r="P170" s="8" t="n">
        <v>1069</v>
      </c>
      <c r="Q170" s="8" t="n">
        <v>5</v>
      </c>
      <c r="R170" s="8" t="n">
        <v>1077</v>
      </c>
      <c r="S170" s="8" t="n">
        <v>1537</v>
      </c>
    </row>
    <row r="171" customFormat="false" ht="15" hidden="false" customHeight="false" outlineLevel="0" collapsed="false">
      <c r="A171" s="8" t="n">
        <v>2014</v>
      </c>
      <c r="B171" s="8" t="s">
        <v>140</v>
      </c>
      <c r="C171" s="8" t="s">
        <v>180</v>
      </c>
      <c r="D171" s="8" t="s">
        <v>53</v>
      </c>
      <c r="E171" s="8"/>
      <c r="F171" s="8" t="n">
        <v>483</v>
      </c>
      <c r="G171" s="8" t="n">
        <v>116</v>
      </c>
      <c r="H171" s="8" t="n">
        <v>139</v>
      </c>
      <c r="I171" s="8" t="n">
        <v>43</v>
      </c>
      <c r="J171" s="8" t="n">
        <v>64</v>
      </c>
      <c r="K171" s="8" t="n">
        <v>7</v>
      </c>
      <c r="L171" s="8" t="n">
        <v>11</v>
      </c>
      <c r="M171" s="8" t="n">
        <v>44</v>
      </c>
      <c r="N171" s="8" t="n">
        <v>0</v>
      </c>
      <c r="O171" s="8" t="n">
        <v>41</v>
      </c>
      <c r="P171" s="8" t="n">
        <v>948</v>
      </c>
      <c r="Q171" s="8" t="n">
        <v>9</v>
      </c>
      <c r="R171" s="8" t="n">
        <v>957</v>
      </c>
      <c r="S171" s="8" t="n">
        <v>1415</v>
      </c>
    </row>
    <row r="172" customFormat="false" ht="15" hidden="false" customHeight="false" outlineLevel="0" collapsed="false">
      <c r="A172" s="8" t="n">
        <v>2014</v>
      </c>
      <c r="B172" s="8" t="s">
        <v>140</v>
      </c>
      <c r="C172" s="8" t="s">
        <v>182</v>
      </c>
      <c r="D172" s="8" t="s">
        <v>55</v>
      </c>
      <c r="E172" s="8"/>
      <c r="F172" s="8" t="n">
        <v>561</v>
      </c>
      <c r="G172" s="8" t="n">
        <v>115</v>
      </c>
      <c r="H172" s="8" t="n">
        <v>169</v>
      </c>
      <c r="I172" s="8" t="n">
        <v>49</v>
      </c>
      <c r="J172" s="8" t="n">
        <v>76</v>
      </c>
      <c r="K172" s="8" t="n">
        <v>12</v>
      </c>
      <c r="L172" s="8" t="n">
        <v>4</v>
      </c>
      <c r="M172" s="8" t="n">
        <v>53</v>
      </c>
      <c r="N172" s="8" t="n">
        <v>0</v>
      </c>
      <c r="O172" s="8" t="n">
        <v>24</v>
      </c>
      <c r="P172" s="8" t="n">
        <v>1063</v>
      </c>
      <c r="Q172" s="8" t="n">
        <v>15</v>
      </c>
      <c r="R172" s="8" t="n">
        <v>1078</v>
      </c>
      <c r="S172" s="8" t="n">
        <v>1477</v>
      </c>
    </row>
    <row r="173" customFormat="false" ht="15" hidden="false" customHeight="false" outlineLevel="0" collapsed="false">
      <c r="A173" s="8" t="n">
        <v>2014</v>
      </c>
      <c r="B173" s="8" t="s">
        <v>140</v>
      </c>
      <c r="C173" s="8" t="s">
        <v>184</v>
      </c>
      <c r="D173" s="8" t="s">
        <v>57</v>
      </c>
      <c r="E173" s="8"/>
      <c r="F173" s="8" t="n">
        <v>504</v>
      </c>
      <c r="G173" s="8" t="n">
        <v>181</v>
      </c>
      <c r="H173" s="8" t="n">
        <v>214</v>
      </c>
      <c r="I173" s="8" t="n">
        <v>80</v>
      </c>
      <c r="J173" s="8" t="n">
        <v>54</v>
      </c>
      <c r="K173" s="8" t="n">
        <v>19</v>
      </c>
      <c r="L173" s="8" t="n">
        <v>16</v>
      </c>
      <c r="M173" s="8" t="n">
        <v>90</v>
      </c>
      <c r="N173" s="8" t="n">
        <v>0</v>
      </c>
      <c r="O173" s="8" t="n">
        <v>49</v>
      </c>
      <c r="P173" s="8" t="n">
        <v>1207</v>
      </c>
      <c r="Q173" s="8" t="n">
        <v>17</v>
      </c>
      <c r="R173" s="8" t="n">
        <v>1227</v>
      </c>
      <c r="S173" s="8" t="n">
        <v>1602</v>
      </c>
    </row>
    <row r="174" customFormat="false" ht="15" hidden="false" customHeight="false" outlineLevel="0" collapsed="false">
      <c r="A174" s="8" t="n">
        <v>2014</v>
      </c>
      <c r="B174" s="8" t="s">
        <v>140</v>
      </c>
      <c r="C174" s="8" t="s">
        <v>186</v>
      </c>
      <c r="D174" s="8" t="s">
        <v>59</v>
      </c>
      <c r="E174" s="8"/>
      <c r="F174" s="8" t="n">
        <v>499</v>
      </c>
      <c r="G174" s="8" t="n">
        <v>99</v>
      </c>
      <c r="H174" s="8" t="n">
        <v>202</v>
      </c>
      <c r="I174" s="8" t="n">
        <v>42</v>
      </c>
      <c r="J174" s="8" t="n">
        <v>50</v>
      </c>
      <c r="K174" s="8" t="n">
        <v>19</v>
      </c>
      <c r="L174" s="8" t="n">
        <v>18</v>
      </c>
      <c r="M174" s="8" t="n">
        <v>61</v>
      </c>
      <c r="N174" s="8" t="n">
        <v>0</v>
      </c>
      <c r="O174" s="8" t="n">
        <v>38</v>
      </c>
      <c r="P174" s="8" t="n">
        <v>1028</v>
      </c>
      <c r="Q174" s="8" t="n">
        <v>6</v>
      </c>
      <c r="R174" s="8" t="n">
        <v>1034</v>
      </c>
      <c r="S174" s="8" t="n">
        <v>1406</v>
      </c>
    </row>
    <row r="175" customFormat="false" ht="15" hidden="false" customHeight="false" outlineLevel="0" collapsed="false">
      <c r="A175" s="8" t="n">
        <v>2014</v>
      </c>
      <c r="B175" s="8" t="s">
        <v>140</v>
      </c>
      <c r="C175" s="8" t="s">
        <v>188</v>
      </c>
      <c r="D175" s="8" t="s">
        <v>61</v>
      </c>
      <c r="E175" s="8"/>
      <c r="F175" s="8" t="n">
        <v>473</v>
      </c>
      <c r="G175" s="8" t="n">
        <v>162</v>
      </c>
      <c r="H175" s="8" t="n">
        <v>219</v>
      </c>
      <c r="I175" s="8" t="n">
        <v>70</v>
      </c>
      <c r="J175" s="8" t="n">
        <v>49</v>
      </c>
      <c r="K175" s="8" t="n">
        <v>25</v>
      </c>
      <c r="L175" s="8" t="n">
        <v>19</v>
      </c>
      <c r="M175" s="8" t="n">
        <v>66</v>
      </c>
      <c r="N175" s="8" t="n">
        <v>0</v>
      </c>
      <c r="O175" s="8" t="n">
        <v>24</v>
      </c>
      <c r="P175" s="8" t="n">
        <v>1107</v>
      </c>
      <c r="Q175" s="8" t="n">
        <v>16</v>
      </c>
      <c r="R175" s="8" t="n">
        <v>1123</v>
      </c>
      <c r="S175" s="8" t="n">
        <v>1349</v>
      </c>
    </row>
    <row r="176" customFormat="false" ht="15" hidden="false" customHeight="false" outlineLevel="0" collapsed="false">
      <c r="A176" s="8" t="n">
        <v>2014</v>
      </c>
      <c r="B176" s="8" t="s">
        <v>140</v>
      </c>
      <c r="C176" s="8" t="s">
        <v>190</v>
      </c>
      <c r="D176" s="8" t="s">
        <v>63</v>
      </c>
      <c r="E176" s="8"/>
      <c r="F176" s="8" t="n">
        <v>423</v>
      </c>
      <c r="G176" s="8" t="n">
        <v>69</v>
      </c>
      <c r="H176" s="8" t="n">
        <v>223</v>
      </c>
      <c r="I176" s="8" t="n">
        <v>34</v>
      </c>
      <c r="J176" s="8" t="n">
        <v>33</v>
      </c>
      <c r="K176" s="8" t="n">
        <v>2</v>
      </c>
      <c r="L176" s="8" t="n">
        <v>2</v>
      </c>
      <c r="M176" s="8" t="n">
        <v>53</v>
      </c>
      <c r="N176" s="8" t="n">
        <v>0</v>
      </c>
      <c r="O176" s="8" t="n">
        <v>23</v>
      </c>
      <c r="P176" s="8" t="n">
        <v>862</v>
      </c>
      <c r="Q176" s="8" t="n">
        <v>13</v>
      </c>
      <c r="R176" s="8" t="n">
        <v>876</v>
      </c>
      <c r="S176" s="8" t="n">
        <v>1049</v>
      </c>
    </row>
    <row r="177" customFormat="false" ht="15" hidden="false" customHeight="false" outlineLevel="0" collapsed="false">
      <c r="A177" s="8" t="n">
        <v>2014</v>
      </c>
      <c r="B177" s="8" t="s">
        <v>140</v>
      </c>
      <c r="C177" s="8" t="s">
        <v>192</v>
      </c>
      <c r="D177" s="8" t="s">
        <v>65</v>
      </c>
      <c r="E177" s="8"/>
      <c r="F177" s="8" t="n">
        <v>423</v>
      </c>
      <c r="G177" s="8" t="n">
        <v>149</v>
      </c>
      <c r="H177" s="8" t="n">
        <v>161</v>
      </c>
      <c r="I177" s="8" t="n">
        <v>79</v>
      </c>
      <c r="J177" s="8" t="n">
        <v>42</v>
      </c>
      <c r="K177" s="8" t="n">
        <v>16</v>
      </c>
      <c r="L177" s="8" t="n">
        <v>17</v>
      </c>
      <c r="M177" s="8" t="n">
        <v>44</v>
      </c>
      <c r="N177" s="8" t="n">
        <v>0</v>
      </c>
      <c r="O177" s="8" t="n">
        <v>29</v>
      </c>
      <c r="P177" s="8" t="n">
        <v>960</v>
      </c>
      <c r="Q177" s="8" t="n">
        <v>4</v>
      </c>
      <c r="R177" s="8" t="n">
        <v>964</v>
      </c>
      <c r="S177" s="8" t="n">
        <v>1128</v>
      </c>
    </row>
    <row r="178" customFormat="false" ht="15" hidden="false" customHeight="false" outlineLevel="0" collapsed="false">
      <c r="A178" s="8" t="n">
        <v>2014</v>
      </c>
      <c r="B178" s="8" t="s">
        <v>140</v>
      </c>
      <c r="C178" s="8" t="s">
        <v>194</v>
      </c>
      <c r="D178" s="8" t="s">
        <v>67</v>
      </c>
      <c r="E178" s="8"/>
      <c r="F178" s="8" t="n">
        <v>449</v>
      </c>
      <c r="G178" s="8" t="n">
        <v>31</v>
      </c>
      <c r="H178" s="8" t="n">
        <v>73</v>
      </c>
      <c r="I178" s="8" t="n">
        <v>16</v>
      </c>
      <c r="J178" s="8" t="n">
        <v>130</v>
      </c>
      <c r="K178" s="8" t="n">
        <v>2</v>
      </c>
      <c r="L178" s="8" t="n">
        <v>6</v>
      </c>
      <c r="M178" s="8" t="n">
        <v>30</v>
      </c>
      <c r="N178" s="8" t="n">
        <v>0</v>
      </c>
      <c r="O178" s="8" t="n">
        <v>19</v>
      </c>
      <c r="P178" s="8" t="n">
        <v>756</v>
      </c>
      <c r="Q178" s="8" t="n">
        <v>4</v>
      </c>
      <c r="R178" s="8" t="n">
        <v>760</v>
      </c>
      <c r="S178" s="8" t="n">
        <v>1226</v>
      </c>
    </row>
    <row r="179" customFormat="false" ht="15" hidden="false" customHeight="false" outlineLevel="0" collapsed="false">
      <c r="A179" s="8" t="n">
        <v>2014</v>
      </c>
      <c r="B179" s="8" t="s">
        <v>140</v>
      </c>
      <c r="C179" s="8" t="s">
        <v>196</v>
      </c>
      <c r="D179" s="8" t="s">
        <v>69</v>
      </c>
      <c r="E179" s="8"/>
      <c r="F179" s="8" t="n">
        <v>515</v>
      </c>
      <c r="G179" s="8" t="n">
        <v>100</v>
      </c>
      <c r="H179" s="8" t="n">
        <v>121</v>
      </c>
      <c r="I179" s="8" t="n">
        <v>36</v>
      </c>
      <c r="J179" s="8" t="n">
        <v>48</v>
      </c>
      <c r="K179" s="8" t="n">
        <v>15</v>
      </c>
      <c r="L179" s="8" t="n">
        <v>5</v>
      </c>
      <c r="M179" s="8" t="n">
        <v>47</v>
      </c>
      <c r="N179" s="8" t="n">
        <v>0</v>
      </c>
      <c r="O179" s="8" t="n">
        <v>23</v>
      </c>
      <c r="P179" s="8" t="n">
        <v>910</v>
      </c>
      <c r="Q179" s="8" t="n">
        <v>7</v>
      </c>
      <c r="R179" s="8" t="n">
        <v>917</v>
      </c>
      <c r="S179" s="8" t="n">
        <v>1247</v>
      </c>
    </row>
    <row r="180" customFormat="false" ht="15" hidden="false" customHeight="false" outlineLevel="0" collapsed="false">
      <c r="A180" s="8" t="n">
        <v>2014</v>
      </c>
      <c r="B180" s="8" t="s">
        <v>140</v>
      </c>
      <c r="C180" s="8" t="s">
        <v>198</v>
      </c>
      <c r="D180" s="8" t="s">
        <v>71</v>
      </c>
      <c r="E180" s="8"/>
      <c r="F180" s="8" t="n">
        <v>488</v>
      </c>
      <c r="G180" s="8" t="n">
        <v>328</v>
      </c>
      <c r="H180" s="8" t="n">
        <v>258</v>
      </c>
      <c r="I180" s="8" t="n">
        <v>153</v>
      </c>
      <c r="J180" s="8" t="n">
        <v>29</v>
      </c>
      <c r="K180" s="8" t="n">
        <v>19</v>
      </c>
      <c r="L180" s="8" t="n">
        <v>25</v>
      </c>
      <c r="M180" s="8" t="n">
        <v>45</v>
      </c>
      <c r="N180" s="8" t="n">
        <v>0</v>
      </c>
      <c r="O180" s="8" t="n">
        <v>33</v>
      </c>
      <c r="P180" s="8" t="n">
        <v>1378</v>
      </c>
      <c r="Q180" s="8" t="n">
        <v>13</v>
      </c>
      <c r="R180" s="8" t="n">
        <v>1392</v>
      </c>
      <c r="S180" s="8" t="n">
        <v>1574</v>
      </c>
    </row>
    <row r="181" customFormat="false" ht="15" hidden="false" customHeight="false" outlineLevel="0" collapsed="false">
      <c r="A181" s="8" t="n">
        <v>2014</v>
      </c>
      <c r="B181" s="8" t="s">
        <v>140</v>
      </c>
      <c r="C181" s="8" t="s">
        <v>200</v>
      </c>
      <c r="D181" s="8" t="s">
        <v>219</v>
      </c>
      <c r="E181" s="8"/>
      <c r="F181" s="8" t="n">
        <v>605</v>
      </c>
      <c r="G181" s="8" t="n">
        <v>187</v>
      </c>
      <c r="H181" s="8" t="n">
        <v>261</v>
      </c>
      <c r="I181" s="8" t="n">
        <v>91</v>
      </c>
      <c r="J181" s="8" t="n">
        <v>33</v>
      </c>
      <c r="K181" s="8" t="n">
        <v>24</v>
      </c>
      <c r="L181" s="8" t="n">
        <v>16</v>
      </c>
      <c r="M181" s="8" t="n">
        <v>44</v>
      </c>
      <c r="N181" s="8" t="n">
        <v>0</v>
      </c>
      <c r="O181" s="8" t="n">
        <v>29</v>
      </c>
      <c r="P181" s="8" t="n">
        <v>1290</v>
      </c>
      <c r="Q181" s="8" t="n">
        <v>14</v>
      </c>
      <c r="R181" s="8" t="n">
        <v>1305</v>
      </c>
      <c r="S181" s="8" t="n">
        <v>1493</v>
      </c>
    </row>
    <row r="182" customFormat="false" ht="15" hidden="false" customHeight="false" outlineLevel="0" collapsed="false">
      <c r="A182" s="8" t="n">
        <v>2014</v>
      </c>
      <c r="B182" s="8" t="s">
        <v>140</v>
      </c>
      <c r="C182" s="8" t="s">
        <v>202</v>
      </c>
      <c r="D182" s="8" t="s">
        <v>75</v>
      </c>
      <c r="E182" s="8"/>
      <c r="F182" s="8" t="n">
        <v>230</v>
      </c>
      <c r="G182" s="8" t="n">
        <v>551</v>
      </c>
      <c r="H182" s="8" t="n">
        <v>186</v>
      </c>
      <c r="I182" s="8" t="n">
        <v>167</v>
      </c>
      <c r="J182" s="8" t="n">
        <v>12</v>
      </c>
      <c r="K182" s="8" t="n">
        <v>42</v>
      </c>
      <c r="L182" s="8" t="n">
        <v>46</v>
      </c>
      <c r="M182" s="8" t="n">
        <v>47</v>
      </c>
      <c r="N182" s="8" t="n">
        <v>0</v>
      </c>
      <c r="O182" s="8" t="n">
        <v>27</v>
      </c>
      <c r="P182" s="8" t="n">
        <v>1308</v>
      </c>
      <c r="Q182" s="8" t="n">
        <v>14</v>
      </c>
      <c r="R182" s="8" t="n">
        <v>1322</v>
      </c>
      <c r="S182" s="8" t="n">
        <v>1456</v>
      </c>
    </row>
    <row r="183" customFormat="false" ht="15" hidden="false" customHeight="false" outlineLevel="0" collapsed="false">
      <c r="A183" s="8" t="n">
        <v>2014</v>
      </c>
      <c r="B183" s="8" t="s">
        <v>140</v>
      </c>
      <c r="C183" s="8" t="s">
        <v>204</v>
      </c>
      <c r="D183" s="8" t="s">
        <v>81</v>
      </c>
      <c r="E183" s="8"/>
      <c r="F183" s="8" t="n">
        <v>44</v>
      </c>
      <c r="G183" s="8" t="n">
        <v>75</v>
      </c>
      <c r="H183" s="8" t="n">
        <v>50</v>
      </c>
      <c r="I183" s="8" t="n">
        <v>26</v>
      </c>
      <c r="J183" s="8" t="n">
        <v>13</v>
      </c>
      <c r="K183" s="8" t="n">
        <v>34</v>
      </c>
      <c r="L183" s="8" t="n">
        <v>7</v>
      </c>
      <c r="M183" s="8" t="n">
        <v>17</v>
      </c>
      <c r="N183" s="8" t="n">
        <v>0</v>
      </c>
      <c r="O183" s="8" t="n">
        <v>16</v>
      </c>
      <c r="P183" s="8" t="n">
        <v>282</v>
      </c>
      <c r="Q183" s="8" t="n">
        <v>1</v>
      </c>
      <c r="R183" s="8" t="n">
        <v>283</v>
      </c>
      <c r="S183" s="8" t="n">
        <v>326</v>
      </c>
    </row>
    <row r="184" customFormat="false" ht="15" hidden="false" customHeight="false" outlineLevel="0" collapsed="false">
      <c r="A184" s="8" t="n">
        <v>2014</v>
      </c>
      <c r="B184" s="8" t="s">
        <v>140</v>
      </c>
      <c r="C184" s="8" t="s">
        <v>206</v>
      </c>
      <c r="D184" s="8" t="s">
        <v>220</v>
      </c>
      <c r="E184" s="8"/>
      <c r="F184" s="8" t="n">
        <v>231</v>
      </c>
      <c r="G184" s="8" t="n">
        <v>367</v>
      </c>
      <c r="H184" s="8" t="n">
        <v>330</v>
      </c>
      <c r="I184" s="8" t="n">
        <v>89</v>
      </c>
      <c r="J184" s="8" t="n">
        <v>29</v>
      </c>
      <c r="K184" s="8" t="n">
        <v>89</v>
      </c>
      <c r="L184" s="8" t="n">
        <v>32</v>
      </c>
      <c r="M184" s="8" t="n">
        <v>63</v>
      </c>
      <c r="N184" s="8" t="n">
        <v>0</v>
      </c>
      <c r="O184" s="8" t="n">
        <v>35</v>
      </c>
      <c r="P184" s="8" t="n">
        <v>1265</v>
      </c>
      <c r="Q184" s="8" t="n">
        <v>14</v>
      </c>
      <c r="R184" s="8" t="n">
        <v>1280</v>
      </c>
      <c r="S184" s="8" t="n">
        <v>1481</v>
      </c>
    </row>
    <row r="185" customFormat="false" ht="15" hidden="false" customHeight="false" outlineLevel="0" collapsed="false">
      <c r="A185" s="8" t="n">
        <v>2014</v>
      </c>
      <c r="B185" s="8" t="s">
        <v>140</v>
      </c>
      <c r="C185" s="8" t="s">
        <v>208</v>
      </c>
      <c r="D185" s="8" t="s">
        <v>221</v>
      </c>
      <c r="E185" s="8"/>
      <c r="F185" s="8" t="n">
        <v>554</v>
      </c>
      <c r="G185" s="8" t="n">
        <v>470</v>
      </c>
      <c r="H185" s="8" t="n">
        <v>389</v>
      </c>
      <c r="I185" s="8" t="n">
        <v>157</v>
      </c>
      <c r="J185" s="8" t="n">
        <v>33</v>
      </c>
      <c r="K185" s="8" t="n">
        <v>39</v>
      </c>
      <c r="L185" s="8" t="n">
        <v>45</v>
      </c>
      <c r="M185" s="8" t="n">
        <v>69</v>
      </c>
      <c r="N185" s="8" t="n">
        <v>0</v>
      </c>
      <c r="O185" s="8" t="n">
        <v>29</v>
      </c>
      <c r="P185" s="8" t="n">
        <v>1785</v>
      </c>
      <c r="Q185" s="8" t="n">
        <v>21</v>
      </c>
      <c r="R185" s="8" t="n">
        <v>1806</v>
      </c>
      <c r="S185" s="8" t="n">
        <v>2011</v>
      </c>
    </row>
    <row r="186" customFormat="false" ht="15" hidden="false" customHeight="false" outlineLevel="0" collapsed="false">
      <c r="A186" s="8" t="n">
        <v>2014</v>
      </c>
      <c r="B186" s="8" t="s">
        <v>140</v>
      </c>
      <c r="C186" s="8" t="s">
        <v>210</v>
      </c>
      <c r="D186" s="8" t="s">
        <v>89</v>
      </c>
      <c r="E186" s="8"/>
      <c r="F186" s="8" t="n">
        <v>440</v>
      </c>
      <c r="G186" s="8" t="n">
        <v>332</v>
      </c>
      <c r="H186" s="8" t="n">
        <v>397</v>
      </c>
      <c r="I186" s="8" t="n">
        <v>86</v>
      </c>
      <c r="J186" s="8" t="n">
        <v>33</v>
      </c>
      <c r="K186" s="8" t="n">
        <v>71</v>
      </c>
      <c r="L186" s="8" t="n">
        <v>48</v>
      </c>
      <c r="M186" s="8" t="n">
        <v>57</v>
      </c>
      <c r="N186" s="8" t="n">
        <v>0</v>
      </c>
      <c r="O186" s="8" t="n">
        <v>34</v>
      </c>
      <c r="P186" s="8" t="n">
        <v>1498</v>
      </c>
      <c r="Q186" s="8" t="n">
        <v>14</v>
      </c>
      <c r="R186" s="8" t="n">
        <v>1512</v>
      </c>
      <c r="S186" s="8" t="n">
        <v>1779</v>
      </c>
    </row>
    <row r="187" customFormat="false" ht="15" hidden="false" customHeight="false" outlineLevel="0" collapsed="false">
      <c r="A187" s="8" t="n">
        <v>2014</v>
      </c>
      <c r="B187" s="8" t="s">
        <v>140</v>
      </c>
      <c r="C187" s="8" t="s">
        <v>212</v>
      </c>
      <c r="D187" s="8" t="s">
        <v>222</v>
      </c>
      <c r="E187" s="8"/>
      <c r="F187" s="8" t="n">
        <v>313</v>
      </c>
      <c r="G187" s="8" t="n">
        <v>593</v>
      </c>
      <c r="H187" s="8" t="n">
        <v>236</v>
      </c>
      <c r="I187" s="8" t="n">
        <v>167</v>
      </c>
      <c r="J187" s="8" t="n">
        <v>24</v>
      </c>
      <c r="K187" s="8" t="n">
        <v>112</v>
      </c>
      <c r="L187" s="8" t="n">
        <v>63</v>
      </c>
      <c r="M187" s="8" t="n">
        <v>103</v>
      </c>
      <c r="N187" s="8" t="n">
        <v>0</v>
      </c>
      <c r="O187" s="8" t="n">
        <v>41</v>
      </c>
      <c r="P187" s="8" t="n">
        <v>1652</v>
      </c>
      <c r="Q187" s="8" t="n">
        <v>10</v>
      </c>
      <c r="R187" s="8" t="n">
        <v>1662</v>
      </c>
      <c r="S187" s="8" t="n">
        <v>1845</v>
      </c>
    </row>
    <row r="188" customFormat="false" ht="15" hidden="false" customHeight="false" outlineLevel="0" collapsed="false">
      <c r="A188" s="8" t="n">
        <v>2014</v>
      </c>
      <c r="B188" s="8" t="s">
        <v>140</v>
      </c>
      <c r="C188" s="8" t="s">
        <v>214</v>
      </c>
      <c r="D188" s="8" t="s">
        <v>91</v>
      </c>
      <c r="E188" s="8"/>
      <c r="F188" s="8" t="n">
        <v>284</v>
      </c>
      <c r="G188" s="8" t="n">
        <v>241</v>
      </c>
      <c r="H188" s="8" t="n">
        <v>239</v>
      </c>
      <c r="I188" s="8" t="n">
        <v>57</v>
      </c>
      <c r="J188" s="8" t="n">
        <v>43</v>
      </c>
      <c r="K188" s="8" t="n">
        <v>58</v>
      </c>
      <c r="L188" s="8" t="n">
        <v>30</v>
      </c>
      <c r="M188" s="8" t="n">
        <v>45</v>
      </c>
      <c r="N188" s="8" t="n">
        <v>0</v>
      </c>
      <c r="O188" s="8" t="n">
        <v>31</v>
      </c>
      <c r="P188" s="8" t="n">
        <v>1028</v>
      </c>
      <c r="Q188" s="8" t="n">
        <v>6</v>
      </c>
      <c r="R188" s="8" t="n">
        <v>1034</v>
      </c>
      <c r="S188" s="8" t="n">
        <v>1190</v>
      </c>
    </row>
    <row r="189" customFormat="false" ht="15" hidden="false" customHeight="false" outlineLevel="0" collapsed="false">
      <c r="A189" s="8" t="n">
        <v>2014</v>
      </c>
      <c r="B189" s="8" t="s">
        <v>140</v>
      </c>
      <c r="C189" s="8" t="s">
        <v>226</v>
      </c>
      <c r="D189" s="8" t="s">
        <v>14</v>
      </c>
      <c r="E189" s="8" t="s">
        <v>218</v>
      </c>
      <c r="F189" s="8" t="n">
        <v>60</v>
      </c>
      <c r="G189" s="8" t="n">
        <v>55</v>
      </c>
      <c r="H189" s="8" t="n">
        <v>39</v>
      </c>
      <c r="I189" s="8" t="n">
        <v>15</v>
      </c>
      <c r="J189" s="8" t="n">
        <v>10</v>
      </c>
      <c r="K189" s="8" t="n">
        <v>10</v>
      </c>
      <c r="L189" s="8" t="n">
        <v>7</v>
      </c>
      <c r="M189" s="8" t="n">
        <v>25</v>
      </c>
      <c r="N189" s="8" t="n">
        <v>0</v>
      </c>
      <c r="O189" s="8" t="n">
        <v>17</v>
      </c>
      <c r="P189" s="8" t="n">
        <v>238</v>
      </c>
      <c r="Q189" s="8" t="n">
        <v>0</v>
      </c>
      <c r="R189" s="8" t="n">
        <v>238</v>
      </c>
      <c r="S189" s="8" t="n">
        <v>0</v>
      </c>
    </row>
    <row r="190" customFormat="false" ht="15" hidden="false" customHeight="false" outlineLevel="0" collapsed="false">
      <c r="A190" s="8" t="n">
        <v>2014</v>
      </c>
      <c r="B190" s="8" t="s">
        <v>140</v>
      </c>
      <c r="C190" s="8" t="s">
        <v>227</v>
      </c>
      <c r="D190" s="8" t="s">
        <v>14</v>
      </c>
      <c r="E190" s="8" t="s">
        <v>218</v>
      </c>
      <c r="F190" s="8" t="n">
        <v>50</v>
      </c>
      <c r="G190" s="8" t="n">
        <v>65</v>
      </c>
      <c r="H190" s="8" t="n">
        <v>21</v>
      </c>
      <c r="I190" s="8" t="n">
        <v>23</v>
      </c>
      <c r="J190" s="8" t="n">
        <v>13</v>
      </c>
      <c r="K190" s="8" t="n">
        <v>6</v>
      </c>
      <c r="L190" s="8" t="n">
        <v>4</v>
      </c>
      <c r="M190" s="8" t="n">
        <v>25</v>
      </c>
      <c r="N190" s="8" t="n">
        <v>0</v>
      </c>
      <c r="O190" s="8" t="n">
        <v>18</v>
      </c>
      <c r="P190" s="8" t="n">
        <v>225</v>
      </c>
      <c r="Q190" s="8" t="n">
        <v>5</v>
      </c>
      <c r="R190" s="8" t="n">
        <v>230</v>
      </c>
      <c r="S190" s="8" t="n">
        <v>0</v>
      </c>
    </row>
    <row r="191" customFormat="false" ht="15" hidden="false" customHeight="false" outlineLevel="0" collapsed="false">
      <c r="A191" s="8" t="n">
        <v>2014</v>
      </c>
      <c r="B191" s="8" t="s">
        <v>139</v>
      </c>
      <c r="C191" s="8" t="s">
        <v>172</v>
      </c>
      <c r="D191" s="8" t="s">
        <v>45</v>
      </c>
      <c r="E191" s="8"/>
      <c r="F191" s="8" t="n">
        <v>480</v>
      </c>
      <c r="G191" s="8" t="n">
        <v>179</v>
      </c>
      <c r="H191" s="8" t="n">
        <v>247</v>
      </c>
      <c r="I191" s="8" t="n">
        <v>211</v>
      </c>
      <c r="J191" s="8" t="n">
        <v>63</v>
      </c>
      <c r="K191" s="8" t="n">
        <v>36</v>
      </c>
      <c r="L191" s="8" t="n">
        <v>22</v>
      </c>
      <c r="M191" s="8" t="n">
        <v>56</v>
      </c>
      <c r="N191" s="8" t="n">
        <v>0</v>
      </c>
      <c r="O191" s="8" t="n">
        <v>44</v>
      </c>
      <c r="P191" s="8" t="n">
        <v>1338</v>
      </c>
      <c r="Q191" s="8" t="n">
        <v>15</v>
      </c>
      <c r="R191" s="8" t="n">
        <v>1353</v>
      </c>
      <c r="S191" s="8" t="n">
        <v>1761</v>
      </c>
    </row>
    <row r="192" customFormat="false" ht="15" hidden="false" customHeight="false" outlineLevel="0" collapsed="false">
      <c r="A192" s="8" t="n">
        <v>2014</v>
      </c>
      <c r="B192" s="8" t="s">
        <v>139</v>
      </c>
      <c r="C192" s="8" t="s">
        <v>174</v>
      </c>
      <c r="D192" s="8" t="s">
        <v>47</v>
      </c>
      <c r="E192" s="8"/>
      <c r="F192" s="8" t="n">
        <v>461</v>
      </c>
      <c r="G192" s="8" t="n">
        <v>136</v>
      </c>
      <c r="H192" s="8" t="n">
        <v>174</v>
      </c>
      <c r="I192" s="8" t="n">
        <v>127</v>
      </c>
      <c r="J192" s="8" t="n">
        <v>60</v>
      </c>
      <c r="K192" s="8" t="n">
        <v>18</v>
      </c>
      <c r="L192" s="8" t="n">
        <v>23</v>
      </c>
      <c r="M192" s="8" t="n">
        <v>61</v>
      </c>
      <c r="N192" s="8" t="n">
        <v>0</v>
      </c>
      <c r="O192" s="8" t="n">
        <v>55</v>
      </c>
      <c r="P192" s="8" t="n">
        <v>1115</v>
      </c>
      <c r="Q192" s="8" t="n">
        <v>16</v>
      </c>
      <c r="R192" s="8" t="n">
        <v>1131</v>
      </c>
      <c r="S192" s="8" t="n">
        <v>1509</v>
      </c>
    </row>
    <row r="193" customFormat="false" ht="15" hidden="false" customHeight="false" outlineLevel="0" collapsed="false">
      <c r="A193" s="8" t="n">
        <v>2014</v>
      </c>
      <c r="B193" s="8" t="s">
        <v>139</v>
      </c>
      <c r="C193" s="8" t="s">
        <v>176</v>
      </c>
      <c r="D193" s="8" t="s">
        <v>49</v>
      </c>
      <c r="E193" s="8"/>
      <c r="F193" s="8" t="n">
        <v>502</v>
      </c>
      <c r="G193" s="8" t="n">
        <v>135</v>
      </c>
      <c r="H193" s="8" t="n">
        <v>183</v>
      </c>
      <c r="I193" s="8" t="n">
        <v>97</v>
      </c>
      <c r="J193" s="8" t="n">
        <v>67</v>
      </c>
      <c r="K193" s="8" t="n">
        <v>12</v>
      </c>
      <c r="L193" s="8" t="n">
        <v>15</v>
      </c>
      <c r="M193" s="8" t="n">
        <v>58</v>
      </c>
      <c r="N193" s="8" t="n">
        <v>0</v>
      </c>
      <c r="O193" s="8" t="n">
        <v>67</v>
      </c>
      <c r="P193" s="8" t="n">
        <v>1136</v>
      </c>
      <c r="Q193" s="8" t="n">
        <v>14</v>
      </c>
      <c r="R193" s="8" t="n">
        <v>1152</v>
      </c>
      <c r="S193" s="8" t="n">
        <v>1761</v>
      </c>
    </row>
    <row r="194" customFormat="false" ht="15" hidden="false" customHeight="false" outlineLevel="0" collapsed="false">
      <c r="A194" s="8" t="n">
        <v>2014</v>
      </c>
      <c r="B194" s="8" t="s">
        <v>139</v>
      </c>
      <c r="C194" s="8" t="s">
        <v>178</v>
      </c>
      <c r="D194" s="8" t="s">
        <v>51</v>
      </c>
      <c r="E194" s="8"/>
      <c r="F194" s="8" t="n">
        <v>570</v>
      </c>
      <c r="G194" s="8" t="n">
        <v>80</v>
      </c>
      <c r="H194" s="8" t="n">
        <v>165</v>
      </c>
      <c r="I194" s="8" t="n">
        <v>58</v>
      </c>
      <c r="J194" s="8" t="n">
        <v>111</v>
      </c>
      <c r="K194" s="8" t="n">
        <v>14</v>
      </c>
      <c r="L194" s="8" t="n">
        <v>11</v>
      </c>
      <c r="M194" s="8" t="n">
        <v>59</v>
      </c>
      <c r="N194" s="8" t="n">
        <v>0</v>
      </c>
      <c r="O194" s="8" t="n">
        <v>47</v>
      </c>
      <c r="P194" s="8" t="n">
        <v>1115</v>
      </c>
      <c r="Q194" s="8" t="n">
        <v>12</v>
      </c>
      <c r="R194" s="8" t="n">
        <v>1128</v>
      </c>
      <c r="S194" s="8" t="n">
        <v>1764</v>
      </c>
    </row>
    <row r="195" customFormat="false" ht="15" hidden="false" customHeight="false" outlineLevel="0" collapsed="false">
      <c r="A195" s="8" t="n">
        <v>2014</v>
      </c>
      <c r="B195" s="8" t="s">
        <v>139</v>
      </c>
      <c r="C195" s="8" t="s">
        <v>180</v>
      </c>
      <c r="D195" s="8" t="s">
        <v>53</v>
      </c>
      <c r="E195" s="8"/>
      <c r="F195" s="8" t="n">
        <v>527</v>
      </c>
      <c r="G195" s="8" t="n">
        <v>91</v>
      </c>
      <c r="H195" s="8" t="n">
        <v>123</v>
      </c>
      <c r="I195" s="8" t="n">
        <v>58</v>
      </c>
      <c r="J195" s="8" t="n">
        <v>73</v>
      </c>
      <c r="K195" s="8" t="n">
        <v>14</v>
      </c>
      <c r="L195" s="8" t="n">
        <v>12</v>
      </c>
      <c r="M195" s="8" t="n">
        <v>36</v>
      </c>
      <c r="N195" s="8" t="n">
        <v>0</v>
      </c>
      <c r="O195" s="8" t="n">
        <v>45</v>
      </c>
      <c r="P195" s="8" t="n">
        <v>979</v>
      </c>
      <c r="Q195" s="8" t="n">
        <v>14</v>
      </c>
      <c r="R195" s="8" t="n">
        <v>993</v>
      </c>
      <c r="S195" s="8" t="n">
        <v>1687</v>
      </c>
    </row>
    <row r="196" customFormat="false" ht="15" hidden="false" customHeight="false" outlineLevel="0" collapsed="false">
      <c r="A196" s="8" t="n">
        <v>2014</v>
      </c>
      <c r="B196" s="8" t="s">
        <v>139</v>
      </c>
      <c r="C196" s="8" t="s">
        <v>182</v>
      </c>
      <c r="D196" s="8" t="s">
        <v>55</v>
      </c>
      <c r="E196" s="8"/>
      <c r="F196" s="8" t="n">
        <v>595</v>
      </c>
      <c r="G196" s="8" t="n">
        <v>66</v>
      </c>
      <c r="H196" s="8" t="n">
        <v>165</v>
      </c>
      <c r="I196" s="8" t="n">
        <v>89</v>
      </c>
      <c r="J196" s="8" t="n">
        <v>78</v>
      </c>
      <c r="K196" s="8" t="n">
        <v>12</v>
      </c>
      <c r="L196" s="8" t="n">
        <v>6</v>
      </c>
      <c r="M196" s="8" t="n">
        <v>51</v>
      </c>
      <c r="N196" s="8" t="n">
        <v>0</v>
      </c>
      <c r="O196" s="8" t="n">
        <v>42</v>
      </c>
      <c r="P196" s="8" t="n">
        <v>1104</v>
      </c>
      <c r="Q196" s="8" t="n">
        <v>20</v>
      </c>
      <c r="R196" s="8" t="n">
        <v>1124</v>
      </c>
      <c r="S196" s="8" t="n">
        <v>1686</v>
      </c>
    </row>
    <row r="197" customFormat="false" ht="15" hidden="false" customHeight="false" outlineLevel="0" collapsed="false">
      <c r="A197" s="8" t="n">
        <v>2014</v>
      </c>
      <c r="B197" s="8" t="s">
        <v>139</v>
      </c>
      <c r="C197" s="8" t="s">
        <v>184</v>
      </c>
      <c r="D197" s="8" t="s">
        <v>57</v>
      </c>
      <c r="E197" s="8"/>
      <c r="F197" s="8" t="n">
        <v>588</v>
      </c>
      <c r="G197" s="8" t="n">
        <v>138</v>
      </c>
      <c r="H197" s="8" t="n">
        <v>170</v>
      </c>
      <c r="I197" s="8" t="n">
        <v>122</v>
      </c>
      <c r="J197" s="8" t="n">
        <v>67</v>
      </c>
      <c r="K197" s="8" t="n">
        <v>18</v>
      </c>
      <c r="L197" s="8" t="n">
        <v>22</v>
      </c>
      <c r="M197" s="8" t="n">
        <v>66</v>
      </c>
      <c r="N197" s="8" t="n">
        <v>0</v>
      </c>
      <c r="O197" s="8" t="n">
        <v>69</v>
      </c>
      <c r="P197" s="8" t="n">
        <v>1260</v>
      </c>
      <c r="Q197" s="8" t="n">
        <v>24</v>
      </c>
      <c r="R197" s="8" t="n">
        <v>1285</v>
      </c>
      <c r="S197" s="8" t="n">
        <v>1789</v>
      </c>
    </row>
    <row r="198" customFormat="false" ht="15" hidden="false" customHeight="false" outlineLevel="0" collapsed="false">
      <c r="A198" s="8" t="n">
        <v>2014</v>
      </c>
      <c r="B198" s="8" t="s">
        <v>139</v>
      </c>
      <c r="C198" s="8" t="s">
        <v>186</v>
      </c>
      <c r="D198" s="8" t="s">
        <v>59</v>
      </c>
      <c r="E198" s="8"/>
      <c r="F198" s="8" t="n">
        <v>548</v>
      </c>
      <c r="G198" s="8" t="n">
        <v>77</v>
      </c>
      <c r="H198" s="8" t="n">
        <v>191</v>
      </c>
      <c r="I198" s="8" t="n">
        <v>64</v>
      </c>
      <c r="J198" s="8" t="n">
        <v>53</v>
      </c>
      <c r="K198" s="8" t="n">
        <v>23</v>
      </c>
      <c r="L198" s="8" t="n">
        <v>14</v>
      </c>
      <c r="M198" s="8" t="n">
        <v>55</v>
      </c>
      <c r="N198" s="8" t="n">
        <v>0</v>
      </c>
      <c r="O198" s="8" t="n">
        <v>47</v>
      </c>
      <c r="P198" s="8" t="n">
        <v>1072</v>
      </c>
      <c r="Q198" s="8" t="n">
        <v>8</v>
      </c>
      <c r="R198" s="8" t="n">
        <v>1080</v>
      </c>
      <c r="S198" s="8" t="n">
        <v>1556</v>
      </c>
    </row>
    <row r="199" customFormat="false" ht="15" hidden="false" customHeight="false" outlineLevel="0" collapsed="false">
      <c r="A199" s="8" t="n">
        <v>2014</v>
      </c>
      <c r="B199" s="8" t="s">
        <v>139</v>
      </c>
      <c r="C199" s="8" t="s">
        <v>188</v>
      </c>
      <c r="D199" s="8" t="s">
        <v>61</v>
      </c>
      <c r="E199" s="8"/>
      <c r="F199" s="8" t="n">
        <v>521</v>
      </c>
      <c r="G199" s="8" t="n">
        <v>102</v>
      </c>
      <c r="H199" s="8" t="n">
        <v>202</v>
      </c>
      <c r="I199" s="8" t="n">
        <v>121</v>
      </c>
      <c r="J199" s="8" t="n">
        <v>48</v>
      </c>
      <c r="K199" s="8" t="n">
        <v>21</v>
      </c>
      <c r="L199" s="8" t="n">
        <v>16</v>
      </c>
      <c r="M199" s="8" t="n">
        <v>59</v>
      </c>
      <c r="N199" s="8" t="n">
        <v>0</v>
      </c>
      <c r="O199" s="8" t="n">
        <v>34</v>
      </c>
      <c r="P199" s="8" t="n">
        <v>1124</v>
      </c>
      <c r="Q199" s="8" t="n">
        <v>17</v>
      </c>
      <c r="R199" s="8" t="n">
        <v>1141</v>
      </c>
      <c r="S199" s="8" t="n">
        <v>1462</v>
      </c>
    </row>
    <row r="200" customFormat="false" ht="15" hidden="false" customHeight="false" outlineLevel="0" collapsed="false">
      <c r="A200" s="8" t="n">
        <v>2014</v>
      </c>
      <c r="B200" s="8" t="s">
        <v>139</v>
      </c>
      <c r="C200" s="8" t="s">
        <v>190</v>
      </c>
      <c r="D200" s="8" t="s">
        <v>63</v>
      </c>
      <c r="E200" s="8"/>
      <c r="F200" s="8" t="n">
        <v>460</v>
      </c>
      <c r="G200" s="8" t="n">
        <v>48</v>
      </c>
      <c r="H200" s="8" t="n">
        <v>206</v>
      </c>
      <c r="I200" s="8" t="n">
        <v>48</v>
      </c>
      <c r="J200" s="8" t="n">
        <v>36</v>
      </c>
      <c r="K200" s="8" t="n">
        <v>7</v>
      </c>
      <c r="L200" s="8" t="n">
        <v>5</v>
      </c>
      <c r="M200" s="8" t="n">
        <v>39</v>
      </c>
      <c r="N200" s="8" t="n">
        <v>0</v>
      </c>
      <c r="O200" s="8" t="n">
        <v>30</v>
      </c>
      <c r="P200" s="8" t="n">
        <v>879</v>
      </c>
      <c r="Q200" s="8" t="n">
        <v>14</v>
      </c>
      <c r="R200" s="8" t="n">
        <v>893</v>
      </c>
      <c r="S200" s="8" t="n">
        <v>1090</v>
      </c>
    </row>
    <row r="201" customFormat="false" ht="15" hidden="false" customHeight="false" outlineLevel="0" collapsed="false">
      <c r="A201" s="8" t="n">
        <v>2014</v>
      </c>
      <c r="B201" s="8" t="s">
        <v>139</v>
      </c>
      <c r="C201" s="8" t="s">
        <v>192</v>
      </c>
      <c r="D201" s="8" t="s">
        <v>65</v>
      </c>
      <c r="E201" s="8"/>
      <c r="F201" s="8" t="n">
        <v>495</v>
      </c>
      <c r="G201" s="8" t="n">
        <v>101</v>
      </c>
      <c r="H201" s="8" t="n">
        <v>133</v>
      </c>
      <c r="I201" s="8" t="n">
        <v>112</v>
      </c>
      <c r="J201" s="8" t="n">
        <v>35</v>
      </c>
      <c r="K201" s="8" t="n">
        <v>6</v>
      </c>
      <c r="L201" s="8" t="n">
        <v>20</v>
      </c>
      <c r="M201" s="8" t="n">
        <v>38</v>
      </c>
      <c r="N201" s="8" t="n">
        <v>0</v>
      </c>
      <c r="O201" s="8" t="n">
        <v>27</v>
      </c>
      <c r="P201" s="8" t="n">
        <v>967</v>
      </c>
      <c r="Q201" s="8" t="n">
        <v>15</v>
      </c>
      <c r="R201" s="8" t="n">
        <v>982</v>
      </c>
      <c r="S201" s="8" t="n">
        <v>1140</v>
      </c>
    </row>
    <row r="202" customFormat="false" ht="15" hidden="false" customHeight="false" outlineLevel="0" collapsed="false">
      <c r="A202" s="8" t="n">
        <v>2014</v>
      </c>
      <c r="B202" s="8" t="s">
        <v>139</v>
      </c>
      <c r="C202" s="8" t="s">
        <v>194</v>
      </c>
      <c r="D202" s="8" t="s">
        <v>67</v>
      </c>
      <c r="E202" s="8"/>
      <c r="F202" s="8" t="n">
        <v>481</v>
      </c>
      <c r="G202" s="8" t="n">
        <v>27</v>
      </c>
      <c r="H202" s="8" t="n">
        <v>77</v>
      </c>
      <c r="I202" s="8" t="n">
        <v>20</v>
      </c>
      <c r="J202" s="8" t="n">
        <v>149</v>
      </c>
      <c r="K202" s="8" t="n">
        <v>1</v>
      </c>
      <c r="L202" s="8" t="n">
        <v>8</v>
      </c>
      <c r="M202" s="8" t="n">
        <v>37</v>
      </c>
      <c r="N202" s="8" t="n">
        <v>0</v>
      </c>
      <c r="O202" s="8" t="n">
        <v>24</v>
      </c>
      <c r="P202" s="8" t="n">
        <v>824</v>
      </c>
      <c r="Q202" s="8" t="n">
        <v>4</v>
      </c>
      <c r="R202" s="8" t="n">
        <v>828</v>
      </c>
      <c r="S202" s="8" t="n">
        <v>1534</v>
      </c>
    </row>
    <row r="203" customFormat="false" ht="15" hidden="false" customHeight="false" outlineLevel="0" collapsed="false">
      <c r="A203" s="8" t="n">
        <v>2014</v>
      </c>
      <c r="B203" s="8" t="s">
        <v>139</v>
      </c>
      <c r="C203" s="8" t="s">
        <v>196</v>
      </c>
      <c r="D203" s="8" t="s">
        <v>69</v>
      </c>
      <c r="E203" s="8"/>
      <c r="F203" s="8" t="n">
        <v>582</v>
      </c>
      <c r="G203" s="8" t="n">
        <v>56</v>
      </c>
      <c r="H203" s="8" t="n">
        <v>99</v>
      </c>
      <c r="I203" s="8" t="n">
        <v>59</v>
      </c>
      <c r="J203" s="8" t="n">
        <v>73</v>
      </c>
      <c r="K203" s="8" t="n">
        <v>10</v>
      </c>
      <c r="L203" s="8" t="n">
        <v>12</v>
      </c>
      <c r="M203" s="8" t="n">
        <v>33</v>
      </c>
      <c r="N203" s="8" t="n">
        <v>0</v>
      </c>
      <c r="O203" s="8" t="n">
        <v>31</v>
      </c>
      <c r="P203" s="8" t="n">
        <v>955</v>
      </c>
      <c r="Q203" s="8" t="n">
        <v>11</v>
      </c>
      <c r="R203" s="8" t="n">
        <v>966</v>
      </c>
      <c r="S203" s="8" t="n">
        <v>1414</v>
      </c>
    </row>
    <row r="204" customFormat="false" ht="15" hidden="false" customHeight="false" outlineLevel="0" collapsed="false">
      <c r="A204" s="8" t="n">
        <v>2014</v>
      </c>
      <c r="B204" s="8" t="s">
        <v>139</v>
      </c>
      <c r="C204" s="8" t="s">
        <v>198</v>
      </c>
      <c r="D204" s="8" t="s">
        <v>71</v>
      </c>
      <c r="E204" s="8"/>
      <c r="F204" s="8" t="n">
        <v>574</v>
      </c>
      <c r="G204" s="8" t="n">
        <v>195</v>
      </c>
      <c r="H204" s="8" t="n">
        <v>184</v>
      </c>
      <c r="I204" s="8" t="n">
        <v>273</v>
      </c>
      <c r="J204" s="8" t="n">
        <v>31</v>
      </c>
      <c r="K204" s="8" t="n">
        <v>22</v>
      </c>
      <c r="L204" s="8" t="n">
        <v>17</v>
      </c>
      <c r="M204" s="8" t="n">
        <v>42</v>
      </c>
      <c r="N204" s="8" t="n">
        <v>0</v>
      </c>
      <c r="O204" s="8" t="n">
        <v>46</v>
      </c>
      <c r="P204" s="8" t="n">
        <v>1384</v>
      </c>
      <c r="Q204" s="8" t="n">
        <v>11</v>
      </c>
      <c r="R204" s="8" t="n">
        <v>1395</v>
      </c>
      <c r="S204" s="8" t="n">
        <v>1575</v>
      </c>
    </row>
    <row r="205" customFormat="false" ht="15" hidden="false" customHeight="false" outlineLevel="0" collapsed="false">
      <c r="A205" s="8" t="n">
        <v>2014</v>
      </c>
      <c r="B205" s="8" t="s">
        <v>139</v>
      </c>
      <c r="C205" s="8" t="s">
        <v>200</v>
      </c>
      <c r="D205" s="8" t="s">
        <v>219</v>
      </c>
      <c r="E205" s="8"/>
      <c r="F205" s="8" t="n">
        <v>661</v>
      </c>
      <c r="G205" s="8" t="n">
        <v>118</v>
      </c>
      <c r="H205" s="8" t="n">
        <v>211</v>
      </c>
      <c r="I205" s="8" t="n">
        <v>154</v>
      </c>
      <c r="J205" s="8" t="n">
        <v>35</v>
      </c>
      <c r="K205" s="8" t="n">
        <v>20</v>
      </c>
      <c r="L205" s="8" t="n">
        <v>13</v>
      </c>
      <c r="M205" s="8" t="n">
        <v>38</v>
      </c>
      <c r="N205" s="8" t="n">
        <v>0</v>
      </c>
      <c r="O205" s="8" t="n">
        <v>41</v>
      </c>
      <c r="P205" s="8" t="n">
        <v>1291</v>
      </c>
      <c r="Q205" s="8" t="n">
        <v>21</v>
      </c>
      <c r="R205" s="8" t="n">
        <v>1312</v>
      </c>
      <c r="S205" s="8" t="n">
        <v>1524</v>
      </c>
    </row>
    <row r="206" customFormat="false" ht="15" hidden="false" customHeight="false" outlineLevel="0" collapsed="false">
      <c r="A206" s="8" t="n">
        <v>2014</v>
      </c>
      <c r="B206" s="8" t="s">
        <v>139</v>
      </c>
      <c r="C206" s="8" t="s">
        <v>202</v>
      </c>
      <c r="D206" s="8" t="s">
        <v>75</v>
      </c>
      <c r="E206" s="8"/>
      <c r="F206" s="8" t="n">
        <v>329</v>
      </c>
      <c r="G206" s="8" t="n">
        <v>330</v>
      </c>
      <c r="H206" s="8" t="n">
        <v>149</v>
      </c>
      <c r="I206" s="8" t="n">
        <v>327</v>
      </c>
      <c r="J206" s="8" t="n">
        <v>10</v>
      </c>
      <c r="K206" s="8" t="n">
        <v>32</v>
      </c>
      <c r="L206" s="8" t="n">
        <v>57</v>
      </c>
      <c r="M206" s="8" t="n">
        <v>40</v>
      </c>
      <c r="N206" s="8" t="n">
        <v>0</v>
      </c>
      <c r="O206" s="8" t="n">
        <v>28</v>
      </c>
      <c r="P206" s="8" t="n">
        <v>1302</v>
      </c>
      <c r="Q206" s="8" t="n">
        <v>22</v>
      </c>
      <c r="R206" s="8" t="n">
        <v>1324</v>
      </c>
      <c r="S206" s="8" t="n">
        <v>1443</v>
      </c>
    </row>
    <row r="207" customFormat="false" ht="15" hidden="false" customHeight="false" outlineLevel="0" collapsed="false">
      <c r="A207" s="8" t="n">
        <v>2014</v>
      </c>
      <c r="B207" s="8" t="s">
        <v>139</v>
      </c>
      <c r="C207" s="8" t="s">
        <v>204</v>
      </c>
      <c r="D207" s="8" t="s">
        <v>81</v>
      </c>
      <c r="E207" s="8"/>
      <c r="F207" s="8" t="n">
        <v>62</v>
      </c>
      <c r="G207" s="8" t="n">
        <v>47</v>
      </c>
      <c r="H207" s="8" t="n">
        <v>50</v>
      </c>
      <c r="I207" s="8" t="n">
        <v>38</v>
      </c>
      <c r="J207" s="8" t="n">
        <v>15</v>
      </c>
      <c r="K207" s="8" t="n">
        <v>34</v>
      </c>
      <c r="L207" s="8" t="n">
        <v>4</v>
      </c>
      <c r="M207" s="8" t="n">
        <v>13</v>
      </c>
      <c r="N207" s="8" t="n">
        <v>0</v>
      </c>
      <c r="O207" s="8" t="n">
        <v>15</v>
      </c>
      <c r="P207" s="8" t="n">
        <v>278</v>
      </c>
      <c r="Q207" s="8" t="n">
        <v>5</v>
      </c>
      <c r="R207" s="8" t="n">
        <v>283</v>
      </c>
      <c r="S207" s="8" t="n">
        <v>325</v>
      </c>
    </row>
    <row r="208" customFormat="false" ht="15" hidden="false" customHeight="false" outlineLevel="0" collapsed="false">
      <c r="A208" s="8" t="n">
        <v>2014</v>
      </c>
      <c r="B208" s="8" t="s">
        <v>139</v>
      </c>
      <c r="C208" s="8" t="s">
        <v>206</v>
      </c>
      <c r="D208" s="8" t="s">
        <v>220</v>
      </c>
      <c r="E208" s="8"/>
      <c r="F208" s="8" t="n">
        <v>286</v>
      </c>
      <c r="G208" s="8" t="n">
        <v>296</v>
      </c>
      <c r="H208" s="8" t="n">
        <v>287</v>
      </c>
      <c r="I208" s="8" t="n">
        <v>147</v>
      </c>
      <c r="J208" s="8" t="n">
        <v>33</v>
      </c>
      <c r="K208" s="8" t="n">
        <v>92</v>
      </c>
      <c r="L208" s="8" t="n">
        <v>27</v>
      </c>
      <c r="M208" s="8" t="n">
        <v>63</v>
      </c>
      <c r="N208" s="8" t="n">
        <v>0</v>
      </c>
      <c r="O208" s="8" t="n">
        <v>56</v>
      </c>
      <c r="P208" s="8" t="n">
        <v>1287</v>
      </c>
      <c r="Q208" s="8" t="n">
        <v>18</v>
      </c>
      <c r="R208" s="8" t="n">
        <v>1306</v>
      </c>
      <c r="S208" s="8" t="n">
        <v>1544</v>
      </c>
    </row>
    <row r="209" customFormat="false" ht="15" hidden="false" customHeight="false" outlineLevel="0" collapsed="false">
      <c r="A209" s="8" t="n">
        <v>2014</v>
      </c>
      <c r="B209" s="8" t="s">
        <v>139</v>
      </c>
      <c r="C209" s="8" t="s">
        <v>208</v>
      </c>
      <c r="D209" s="8" t="s">
        <v>221</v>
      </c>
      <c r="E209" s="8"/>
      <c r="F209" s="8" t="n">
        <v>633</v>
      </c>
      <c r="G209" s="8" t="n">
        <v>357</v>
      </c>
      <c r="H209" s="8" t="n">
        <v>316</v>
      </c>
      <c r="I209" s="8" t="n">
        <v>221</v>
      </c>
      <c r="J209" s="8" t="n">
        <v>42</v>
      </c>
      <c r="K209" s="8" t="n">
        <v>36</v>
      </c>
      <c r="L209" s="8" t="n">
        <v>44</v>
      </c>
      <c r="M209" s="8" t="n">
        <v>59</v>
      </c>
      <c r="N209" s="8" t="n">
        <v>0</v>
      </c>
      <c r="O209" s="8" t="n">
        <v>56</v>
      </c>
      <c r="P209" s="8" t="n">
        <v>1764</v>
      </c>
      <c r="Q209" s="8" t="n">
        <v>33</v>
      </c>
      <c r="R209" s="8" t="n">
        <v>1797</v>
      </c>
      <c r="S209" s="8" t="n">
        <v>2035</v>
      </c>
    </row>
    <row r="210" customFormat="false" ht="15" hidden="false" customHeight="false" outlineLevel="0" collapsed="false">
      <c r="A210" s="8" t="n">
        <v>2014</v>
      </c>
      <c r="B210" s="8" t="s">
        <v>139</v>
      </c>
      <c r="C210" s="8" t="s">
        <v>210</v>
      </c>
      <c r="D210" s="8" t="s">
        <v>89</v>
      </c>
      <c r="E210" s="8"/>
      <c r="F210" s="8" t="n">
        <v>494</v>
      </c>
      <c r="G210" s="8" t="n">
        <v>251</v>
      </c>
      <c r="H210" s="8" t="n">
        <v>348</v>
      </c>
      <c r="I210" s="8" t="n">
        <v>131</v>
      </c>
      <c r="J210" s="8" t="n">
        <v>58</v>
      </c>
      <c r="K210" s="8" t="n">
        <v>66</v>
      </c>
      <c r="L210" s="8" t="n">
        <v>44</v>
      </c>
      <c r="M210" s="8" t="n">
        <v>50</v>
      </c>
      <c r="N210" s="8" t="n">
        <v>0</v>
      </c>
      <c r="O210" s="8" t="n">
        <v>75</v>
      </c>
      <c r="P210" s="8" t="n">
        <v>1517</v>
      </c>
      <c r="Q210" s="8" t="n">
        <v>19</v>
      </c>
      <c r="R210" s="8" t="n">
        <v>1536</v>
      </c>
      <c r="S210" s="8" t="n">
        <v>1874</v>
      </c>
    </row>
    <row r="211" customFormat="false" ht="15" hidden="false" customHeight="false" outlineLevel="0" collapsed="false">
      <c r="A211" s="8" t="n">
        <v>2014</v>
      </c>
      <c r="B211" s="8" t="s">
        <v>139</v>
      </c>
      <c r="C211" s="8" t="s">
        <v>212</v>
      </c>
      <c r="D211" s="8" t="s">
        <v>222</v>
      </c>
      <c r="E211" s="8"/>
      <c r="F211" s="8" t="n">
        <v>393</v>
      </c>
      <c r="G211" s="8" t="n">
        <v>468</v>
      </c>
      <c r="H211" s="8" t="n">
        <v>181</v>
      </c>
      <c r="I211" s="8" t="n">
        <v>247</v>
      </c>
      <c r="J211" s="8" t="n">
        <v>36</v>
      </c>
      <c r="K211" s="8" t="n">
        <v>96</v>
      </c>
      <c r="L211" s="8" t="n">
        <v>79</v>
      </c>
      <c r="M211" s="8" t="n">
        <v>97</v>
      </c>
      <c r="N211" s="8" t="n">
        <v>0</v>
      </c>
      <c r="O211" s="8" t="n">
        <v>62</v>
      </c>
      <c r="P211" s="8" t="n">
        <v>1659</v>
      </c>
      <c r="Q211" s="8" t="n">
        <v>19</v>
      </c>
      <c r="R211" s="8" t="n">
        <v>1678</v>
      </c>
      <c r="S211" s="8" t="n">
        <v>1867</v>
      </c>
    </row>
    <row r="212" customFormat="false" ht="15" hidden="false" customHeight="false" outlineLevel="0" collapsed="false">
      <c r="A212" s="8" t="n">
        <v>2014</v>
      </c>
      <c r="B212" s="8" t="s">
        <v>139</v>
      </c>
      <c r="C212" s="8" t="s">
        <v>214</v>
      </c>
      <c r="D212" s="8" t="s">
        <v>91</v>
      </c>
      <c r="E212" s="8"/>
      <c r="F212" s="8" t="n">
        <v>324</v>
      </c>
      <c r="G212" s="8" t="n">
        <v>198</v>
      </c>
      <c r="H212" s="8" t="n">
        <v>214</v>
      </c>
      <c r="I212" s="8" t="n">
        <v>87</v>
      </c>
      <c r="J212" s="8" t="n">
        <v>46</v>
      </c>
      <c r="K212" s="8" t="n">
        <v>60</v>
      </c>
      <c r="L212" s="8" t="n">
        <v>24</v>
      </c>
      <c r="M212" s="8" t="n">
        <v>41</v>
      </c>
      <c r="N212" s="8" t="n">
        <v>0</v>
      </c>
      <c r="O212" s="8" t="n">
        <v>38</v>
      </c>
      <c r="P212" s="8" t="n">
        <v>1032</v>
      </c>
      <c r="Q212" s="8" t="n">
        <v>17</v>
      </c>
      <c r="R212" s="8" t="n">
        <v>1050</v>
      </c>
      <c r="S212" s="8" t="n">
        <v>1226</v>
      </c>
    </row>
    <row r="213" customFormat="false" ht="15" hidden="false" customHeight="false" outlineLevel="0" collapsed="false">
      <c r="A213" s="8" t="n">
        <v>2014</v>
      </c>
      <c r="B213" s="8" t="s">
        <v>139</v>
      </c>
      <c r="C213" s="8" t="s">
        <v>228</v>
      </c>
      <c r="D213" s="8" t="s">
        <v>14</v>
      </c>
      <c r="E213" s="8" t="s">
        <v>218</v>
      </c>
      <c r="F213" s="8" t="n">
        <v>59</v>
      </c>
      <c r="G213" s="8" t="n">
        <v>21</v>
      </c>
      <c r="H213" s="8" t="n">
        <v>15</v>
      </c>
      <c r="I213" s="8" t="n">
        <v>7</v>
      </c>
      <c r="J213" s="8" t="n">
        <v>10</v>
      </c>
      <c r="K213" s="8" t="n">
        <v>7</v>
      </c>
      <c r="L213" s="8" t="n">
        <v>6</v>
      </c>
      <c r="M213" s="8" t="n">
        <v>20</v>
      </c>
      <c r="N213" s="8" t="n">
        <v>0</v>
      </c>
      <c r="O213" s="8" t="n">
        <v>8</v>
      </c>
      <c r="P213" s="8" t="n">
        <v>153</v>
      </c>
      <c r="Q213" s="8" t="n">
        <v>3</v>
      </c>
      <c r="R213" s="8" t="n">
        <v>156</v>
      </c>
      <c r="S213" s="8" t="n">
        <v>0</v>
      </c>
    </row>
    <row r="214" customFormat="false" ht="15" hidden="false" customHeight="false" outlineLevel="0" collapsed="false">
      <c r="A214" s="8" t="n">
        <v>2014</v>
      </c>
      <c r="B214" s="8" t="s">
        <v>139</v>
      </c>
      <c r="C214" s="8" t="s">
        <v>229</v>
      </c>
      <c r="D214" s="8" t="s">
        <v>14</v>
      </c>
      <c r="E214" s="8" t="s">
        <v>218</v>
      </c>
      <c r="F214" s="8" t="n">
        <v>46</v>
      </c>
      <c r="G214" s="8" t="n">
        <v>29</v>
      </c>
      <c r="H214" s="8" t="n">
        <v>14</v>
      </c>
      <c r="I214" s="8" t="n">
        <v>19</v>
      </c>
      <c r="J214" s="8" t="n">
        <v>10</v>
      </c>
      <c r="K214" s="8" t="n">
        <v>2</v>
      </c>
      <c r="L214" s="8" t="n">
        <v>4</v>
      </c>
      <c r="M214" s="8" t="n">
        <v>14</v>
      </c>
      <c r="N214" s="8" t="n">
        <v>0</v>
      </c>
      <c r="O214" s="8" t="n">
        <v>6</v>
      </c>
      <c r="P214" s="8" t="n">
        <v>144</v>
      </c>
      <c r="Q214" s="8" t="n">
        <v>4</v>
      </c>
      <c r="R214" s="8" t="n">
        <v>148</v>
      </c>
      <c r="S214" s="8" t="n">
        <v>0</v>
      </c>
    </row>
    <row r="215" customFormat="false" ht="15" hidden="false" customHeight="false" outlineLevel="0" collapsed="false">
      <c r="A215" s="8" t="n">
        <v>2018</v>
      </c>
      <c r="B215" s="8" t="s">
        <v>138</v>
      </c>
      <c r="C215" s="8" t="s">
        <v>172</v>
      </c>
      <c r="D215" s="8" t="s">
        <v>45</v>
      </c>
      <c r="E215" s="8"/>
      <c r="F215" s="8" t="n">
        <v>324</v>
      </c>
      <c r="G215" s="8" t="n">
        <v>79</v>
      </c>
      <c r="H215" s="8" t="n">
        <v>261</v>
      </c>
      <c r="I215" s="8" t="n">
        <v>639</v>
      </c>
      <c r="J215" s="8" t="n">
        <v>62</v>
      </c>
      <c r="K215" s="8" t="n">
        <v>30</v>
      </c>
      <c r="L215" s="8" t="n">
        <v>9</v>
      </c>
      <c r="M215" s="8" t="n">
        <v>38</v>
      </c>
      <c r="N215" s="8" t="n">
        <v>0</v>
      </c>
      <c r="O215" s="8" t="n">
        <v>12</v>
      </c>
      <c r="P215" s="8" t="n">
        <v>1454</v>
      </c>
      <c r="Q215" s="8" t="n">
        <v>23</v>
      </c>
      <c r="R215" s="8" t="n">
        <v>1477</v>
      </c>
      <c r="S215" s="8" t="n">
        <v>1789</v>
      </c>
    </row>
    <row r="216" customFormat="false" ht="15" hidden="false" customHeight="false" outlineLevel="0" collapsed="false">
      <c r="A216" s="8" t="n">
        <v>2018</v>
      </c>
      <c r="B216" s="8" t="s">
        <v>138</v>
      </c>
      <c r="C216" s="8" t="s">
        <v>174</v>
      </c>
      <c r="D216" s="8" t="s">
        <v>47</v>
      </c>
      <c r="E216" s="8"/>
      <c r="F216" s="8" t="n">
        <v>324</v>
      </c>
      <c r="G216" s="8" t="n">
        <v>56</v>
      </c>
      <c r="H216" s="8" t="n">
        <v>205</v>
      </c>
      <c r="I216" s="8" t="n">
        <v>390</v>
      </c>
      <c r="J216" s="8" t="n">
        <v>52</v>
      </c>
      <c r="K216" s="8" t="n">
        <v>17</v>
      </c>
      <c r="L216" s="8" t="n">
        <v>10</v>
      </c>
      <c r="M216" s="8" t="n">
        <v>39</v>
      </c>
      <c r="N216" s="8" t="n">
        <v>0</v>
      </c>
      <c r="O216" s="8" t="n">
        <v>28</v>
      </c>
      <c r="P216" s="8" t="n">
        <v>1121</v>
      </c>
      <c r="Q216" s="8" t="n">
        <v>14</v>
      </c>
      <c r="R216" s="8" t="n">
        <v>1139</v>
      </c>
      <c r="S216" s="8" t="n">
        <v>1506</v>
      </c>
    </row>
    <row r="217" customFormat="false" ht="15" hidden="false" customHeight="false" outlineLevel="0" collapsed="false">
      <c r="A217" s="8" t="n">
        <v>2018</v>
      </c>
      <c r="B217" s="8" t="s">
        <v>138</v>
      </c>
      <c r="C217" s="8" t="s">
        <v>176</v>
      </c>
      <c r="D217" s="8" t="s">
        <v>49</v>
      </c>
      <c r="E217" s="8"/>
      <c r="F217" s="8" t="n">
        <v>394</v>
      </c>
      <c r="G217" s="8" t="n">
        <v>76</v>
      </c>
      <c r="H217" s="8" t="n">
        <v>249</v>
      </c>
      <c r="I217" s="8" t="n">
        <v>312</v>
      </c>
      <c r="J217" s="8" t="n">
        <v>88</v>
      </c>
      <c r="K217" s="8" t="n">
        <v>37</v>
      </c>
      <c r="L217" s="8" t="n">
        <v>8</v>
      </c>
      <c r="M217" s="8" t="n">
        <v>51</v>
      </c>
      <c r="N217" s="8" t="n">
        <v>0</v>
      </c>
      <c r="O217" s="8" t="n">
        <v>41</v>
      </c>
      <c r="P217" s="8" t="n">
        <v>1256</v>
      </c>
      <c r="Q217" s="8" t="n">
        <v>14</v>
      </c>
      <c r="R217" s="8" t="n">
        <v>1271</v>
      </c>
      <c r="S217" s="8" t="n">
        <v>1813</v>
      </c>
    </row>
    <row r="218" customFormat="false" ht="15" hidden="false" customHeight="false" outlineLevel="0" collapsed="false">
      <c r="A218" s="8" t="n">
        <v>2018</v>
      </c>
      <c r="B218" s="8" t="s">
        <v>138</v>
      </c>
      <c r="C218" s="8" t="s">
        <v>178</v>
      </c>
      <c r="D218" s="8" t="s">
        <v>51</v>
      </c>
      <c r="E218" s="8"/>
      <c r="F218" s="8" t="n">
        <v>523</v>
      </c>
      <c r="G218" s="8" t="n">
        <v>60</v>
      </c>
      <c r="H218" s="8" t="n">
        <v>218</v>
      </c>
      <c r="I218" s="8" t="n">
        <v>203</v>
      </c>
      <c r="J218" s="8" t="n">
        <v>92</v>
      </c>
      <c r="K218" s="8" t="n">
        <v>11</v>
      </c>
      <c r="L218" s="8" t="n">
        <v>9</v>
      </c>
      <c r="M218" s="8" t="n">
        <v>47</v>
      </c>
      <c r="N218" s="8" t="n">
        <v>0</v>
      </c>
      <c r="O218" s="8" t="n">
        <v>16</v>
      </c>
      <c r="P218" s="8" t="n">
        <v>1179</v>
      </c>
      <c r="Q218" s="8" t="n">
        <v>12</v>
      </c>
      <c r="R218" s="8" t="n">
        <v>1194</v>
      </c>
      <c r="S218" s="8" t="n">
        <v>1759</v>
      </c>
    </row>
    <row r="219" customFormat="false" ht="15" hidden="false" customHeight="false" outlineLevel="0" collapsed="false">
      <c r="A219" s="8" t="n">
        <v>2018</v>
      </c>
      <c r="B219" s="8" t="s">
        <v>138</v>
      </c>
      <c r="C219" s="8" t="s">
        <v>180</v>
      </c>
      <c r="D219" s="8" t="s">
        <v>53</v>
      </c>
      <c r="E219" s="8"/>
      <c r="F219" s="8" t="n">
        <v>438</v>
      </c>
      <c r="G219" s="8" t="n">
        <v>60</v>
      </c>
      <c r="H219" s="8" t="n">
        <v>186</v>
      </c>
      <c r="I219" s="8" t="n">
        <v>168</v>
      </c>
      <c r="J219" s="8" t="n">
        <v>105</v>
      </c>
      <c r="K219" s="8" t="n">
        <v>14</v>
      </c>
      <c r="L219" s="8" t="n">
        <v>7</v>
      </c>
      <c r="M219" s="8" t="n">
        <v>38</v>
      </c>
      <c r="N219" s="8" t="n">
        <v>0</v>
      </c>
      <c r="O219" s="8" t="n">
        <v>16</v>
      </c>
      <c r="P219" s="8" t="n">
        <v>1032</v>
      </c>
      <c r="Q219" s="8" t="n">
        <v>12</v>
      </c>
      <c r="R219" s="8" t="n">
        <v>1044</v>
      </c>
      <c r="S219" s="8" t="n">
        <v>1718</v>
      </c>
    </row>
    <row r="220" customFormat="false" ht="15" hidden="false" customHeight="false" outlineLevel="0" collapsed="false">
      <c r="A220" s="8" t="n">
        <v>2018</v>
      </c>
      <c r="B220" s="8" t="s">
        <v>138</v>
      </c>
      <c r="C220" s="8" t="s">
        <v>182</v>
      </c>
      <c r="D220" s="8" t="s">
        <v>55</v>
      </c>
      <c r="E220" s="8"/>
      <c r="F220" s="8" t="n">
        <v>485</v>
      </c>
      <c r="G220" s="8" t="n">
        <v>59</v>
      </c>
      <c r="H220" s="8" t="n">
        <v>213</v>
      </c>
      <c r="I220" s="8" t="n">
        <v>240</v>
      </c>
      <c r="J220" s="8" t="n">
        <v>87</v>
      </c>
      <c r="K220" s="8" t="n">
        <v>15</v>
      </c>
      <c r="L220" s="8" t="n">
        <v>5</v>
      </c>
      <c r="M220" s="8" t="n">
        <v>50</v>
      </c>
      <c r="N220" s="8" t="n">
        <v>0</v>
      </c>
      <c r="O220" s="8" t="n">
        <v>15</v>
      </c>
      <c r="P220" s="8" t="n">
        <v>1169</v>
      </c>
      <c r="Q220" s="8" t="n">
        <v>8</v>
      </c>
      <c r="R220" s="8" t="n">
        <v>1179</v>
      </c>
      <c r="S220" s="8" t="n">
        <v>1761</v>
      </c>
    </row>
    <row r="221" customFormat="false" ht="15" hidden="false" customHeight="false" outlineLevel="0" collapsed="false">
      <c r="A221" s="8" t="n">
        <v>2018</v>
      </c>
      <c r="B221" s="8" t="s">
        <v>138</v>
      </c>
      <c r="C221" s="8" t="s">
        <v>184</v>
      </c>
      <c r="D221" s="8" t="s">
        <v>57</v>
      </c>
      <c r="E221" s="8"/>
      <c r="F221" s="8" t="n">
        <v>344</v>
      </c>
      <c r="G221" s="8" t="n">
        <v>48</v>
      </c>
      <c r="H221" s="8" t="n">
        <v>243</v>
      </c>
      <c r="I221" s="8" t="n">
        <v>425</v>
      </c>
      <c r="J221" s="8" t="n">
        <v>76</v>
      </c>
      <c r="K221" s="8" t="n">
        <v>24</v>
      </c>
      <c r="L221" s="8" t="n">
        <v>9</v>
      </c>
      <c r="M221" s="8" t="n">
        <v>38</v>
      </c>
      <c r="N221" s="8" t="n">
        <v>0</v>
      </c>
      <c r="O221" s="8" t="n">
        <v>27</v>
      </c>
      <c r="P221" s="8" t="n">
        <v>1234</v>
      </c>
      <c r="Q221" s="8" t="n">
        <v>14</v>
      </c>
      <c r="R221" s="8" t="n">
        <v>1248</v>
      </c>
      <c r="S221" s="8" t="n">
        <v>1757</v>
      </c>
    </row>
    <row r="222" customFormat="false" ht="15" hidden="false" customHeight="false" outlineLevel="0" collapsed="false">
      <c r="A222" s="8" t="n">
        <v>2018</v>
      </c>
      <c r="B222" s="8" t="s">
        <v>138</v>
      </c>
      <c r="C222" s="8" t="s">
        <v>186</v>
      </c>
      <c r="D222" s="8" t="s">
        <v>59</v>
      </c>
      <c r="E222" s="8"/>
      <c r="F222" s="8" t="n">
        <v>413</v>
      </c>
      <c r="G222" s="8" t="n">
        <v>58</v>
      </c>
      <c r="H222" s="8" t="n">
        <v>258</v>
      </c>
      <c r="I222" s="8" t="n">
        <v>273</v>
      </c>
      <c r="J222" s="8" t="n">
        <v>70</v>
      </c>
      <c r="K222" s="8" t="n">
        <v>11</v>
      </c>
      <c r="L222" s="8" t="n">
        <v>4</v>
      </c>
      <c r="M222" s="8" t="n">
        <v>67</v>
      </c>
      <c r="N222" s="8" t="n">
        <v>0</v>
      </c>
      <c r="O222" s="8" t="n">
        <v>12</v>
      </c>
      <c r="P222" s="8" t="n">
        <v>1166</v>
      </c>
      <c r="Q222" s="8" t="n">
        <v>12</v>
      </c>
      <c r="R222" s="8" t="n">
        <v>1181</v>
      </c>
      <c r="S222" s="8" t="n">
        <v>1686</v>
      </c>
    </row>
    <row r="223" customFormat="false" ht="15" hidden="false" customHeight="false" outlineLevel="0" collapsed="false">
      <c r="A223" s="8" t="n">
        <v>2018</v>
      </c>
      <c r="B223" s="8" t="s">
        <v>138</v>
      </c>
      <c r="C223" s="8" t="s">
        <v>188</v>
      </c>
      <c r="D223" s="8" t="s">
        <v>61</v>
      </c>
      <c r="E223" s="8"/>
      <c r="F223" s="8" t="n">
        <v>316</v>
      </c>
      <c r="G223" s="8" t="n">
        <v>63</v>
      </c>
      <c r="H223" s="8" t="n">
        <v>282</v>
      </c>
      <c r="I223" s="8" t="n">
        <v>354</v>
      </c>
      <c r="J223" s="8" t="n">
        <v>48</v>
      </c>
      <c r="K223" s="8" t="n">
        <v>12</v>
      </c>
      <c r="L223" s="8" t="n">
        <v>3</v>
      </c>
      <c r="M223" s="8" t="n">
        <v>28</v>
      </c>
      <c r="N223" s="8" t="n">
        <v>0</v>
      </c>
      <c r="O223" s="8" t="n">
        <v>17</v>
      </c>
      <c r="P223" s="8" t="n">
        <v>1123</v>
      </c>
      <c r="Q223" s="8" t="n">
        <v>11</v>
      </c>
      <c r="R223" s="8" t="n">
        <v>1136</v>
      </c>
      <c r="S223" s="8" t="n">
        <v>1487</v>
      </c>
    </row>
    <row r="224" customFormat="false" ht="15" hidden="false" customHeight="false" outlineLevel="0" collapsed="false">
      <c r="A224" s="8" t="n">
        <v>2018</v>
      </c>
      <c r="B224" s="8" t="s">
        <v>138</v>
      </c>
      <c r="C224" s="8" t="s">
        <v>190</v>
      </c>
      <c r="D224" s="8" t="s">
        <v>63</v>
      </c>
      <c r="E224" s="8"/>
      <c r="F224" s="8" t="n">
        <v>312</v>
      </c>
      <c r="G224" s="8" t="n">
        <v>39</v>
      </c>
      <c r="H224" s="8" t="n">
        <v>245</v>
      </c>
      <c r="I224" s="8" t="n">
        <v>161</v>
      </c>
      <c r="J224" s="8" t="n">
        <v>36</v>
      </c>
      <c r="K224" s="8" t="n">
        <v>9</v>
      </c>
      <c r="L224" s="8" t="n">
        <v>3</v>
      </c>
      <c r="M224" s="8" t="n">
        <v>26</v>
      </c>
      <c r="N224" s="8" t="n">
        <v>0</v>
      </c>
      <c r="O224" s="8" t="n">
        <v>14</v>
      </c>
      <c r="P224" s="8" t="n">
        <v>845</v>
      </c>
      <c r="Q224" s="8" t="n">
        <v>10</v>
      </c>
      <c r="R224" s="8" t="n">
        <v>855</v>
      </c>
      <c r="S224" s="8" t="n">
        <v>1069</v>
      </c>
    </row>
    <row r="225" customFormat="false" ht="15" hidden="false" customHeight="false" outlineLevel="0" collapsed="false">
      <c r="A225" s="8" t="n">
        <v>2018</v>
      </c>
      <c r="B225" s="8" t="s">
        <v>138</v>
      </c>
      <c r="C225" s="8" t="s">
        <v>192</v>
      </c>
      <c r="D225" s="8" t="s">
        <v>65</v>
      </c>
      <c r="E225" s="8"/>
      <c r="F225" s="8" t="n">
        <v>382</v>
      </c>
      <c r="G225" s="8" t="n">
        <v>41</v>
      </c>
      <c r="H225" s="8" t="n">
        <v>132</v>
      </c>
      <c r="I225" s="8" t="n">
        <v>334</v>
      </c>
      <c r="J225" s="8" t="n">
        <v>34</v>
      </c>
      <c r="K225" s="8" t="n">
        <v>12</v>
      </c>
      <c r="L225" s="8" t="n">
        <v>5</v>
      </c>
      <c r="M225" s="8" t="n">
        <v>26</v>
      </c>
      <c r="N225" s="8" t="n">
        <v>0</v>
      </c>
      <c r="O225" s="8" t="n">
        <v>11</v>
      </c>
      <c r="P225" s="8" t="n">
        <v>977</v>
      </c>
      <c r="Q225" s="8" t="n">
        <v>9</v>
      </c>
      <c r="R225" s="8" t="n">
        <v>987</v>
      </c>
      <c r="S225" s="8" t="n">
        <v>1158</v>
      </c>
    </row>
    <row r="226" customFormat="false" ht="15" hidden="false" customHeight="false" outlineLevel="0" collapsed="false">
      <c r="A226" s="8" t="n">
        <v>2018</v>
      </c>
      <c r="B226" s="8" t="s">
        <v>138</v>
      </c>
      <c r="C226" s="8" t="s">
        <v>194</v>
      </c>
      <c r="D226" s="8" t="s">
        <v>67</v>
      </c>
      <c r="E226" s="8"/>
      <c r="F226" s="8" t="n">
        <v>545</v>
      </c>
      <c r="G226" s="8" t="n">
        <v>19</v>
      </c>
      <c r="H226" s="8" t="n">
        <v>122</v>
      </c>
      <c r="I226" s="8" t="n">
        <v>65</v>
      </c>
      <c r="J226" s="8" t="n">
        <v>119</v>
      </c>
      <c r="K226" s="8" t="n">
        <v>15</v>
      </c>
      <c r="L226" s="8" t="n">
        <v>3</v>
      </c>
      <c r="M226" s="8" t="n">
        <v>35</v>
      </c>
      <c r="N226" s="8" t="n">
        <v>0</v>
      </c>
      <c r="O226" s="8" t="n">
        <v>8</v>
      </c>
      <c r="P226" s="8" t="n">
        <v>931</v>
      </c>
      <c r="Q226" s="8" t="n">
        <v>5</v>
      </c>
      <c r="R226" s="8" t="n">
        <v>937</v>
      </c>
      <c r="S226" s="8" t="n">
        <v>1558</v>
      </c>
    </row>
    <row r="227" customFormat="false" ht="15" hidden="false" customHeight="false" outlineLevel="0" collapsed="false">
      <c r="A227" s="8" t="n">
        <v>2018</v>
      </c>
      <c r="B227" s="8" t="s">
        <v>138</v>
      </c>
      <c r="C227" s="8" t="s">
        <v>196</v>
      </c>
      <c r="D227" s="8" t="s">
        <v>69</v>
      </c>
      <c r="E227" s="8"/>
      <c r="F227" s="8" t="n">
        <v>423</v>
      </c>
      <c r="G227" s="8" t="n">
        <v>43</v>
      </c>
      <c r="H227" s="8" t="n">
        <v>152</v>
      </c>
      <c r="I227" s="8" t="n">
        <v>221</v>
      </c>
      <c r="J227" s="8" t="n">
        <v>63</v>
      </c>
      <c r="K227" s="8" t="n">
        <v>8</v>
      </c>
      <c r="L227" s="8" t="n">
        <v>2</v>
      </c>
      <c r="M227" s="8" t="n">
        <v>30</v>
      </c>
      <c r="N227" s="8" t="n">
        <v>0</v>
      </c>
      <c r="O227" s="8" t="n">
        <v>15</v>
      </c>
      <c r="P227" s="8" t="n">
        <v>957</v>
      </c>
      <c r="Q227" s="8" t="n">
        <v>14</v>
      </c>
      <c r="R227" s="8" t="n">
        <v>974</v>
      </c>
      <c r="S227" s="8" t="n">
        <v>1414</v>
      </c>
    </row>
    <row r="228" customFormat="false" ht="15" hidden="false" customHeight="false" outlineLevel="0" collapsed="false">
      <c r="A228" s="8" t="n">
        <v>2018</v>
      </c>
      <c r="B228" s="8" t="s">
        <v>138</v>
      </c>
      <c r="C228" s="8" t="s">
        <v>198</v>
      </c>
      <c r="D228" s="8" t="s">
        <v>71</v>
      </c>
      <c r="E228" s="8"/>
      <c r="F228" s="8" t="n">
        <v>367</v>
      </c>
      <c r="G228" s="8" t="n">
        <v>64</v>
      </c>
      <c r="H228" s="8" t="n">
        <v>234</v>
      </c>
      <c r="I228" s="8" t="n">
        <v>766</v>
      </c>
      <c r="J228" s="8" t="n">
        <v>30</v>
      </c>
      <c r="K228" s="8" t="n">
        <v>10</v>
      </c>
      <c r="L228" s="8" t="n">
        <v>3</v>
      </c>
      <c r="M228" s="8" t="n">
        <v>26</v>
      </c>
      <c r="N228" s="8" t="n">
        <v>0</v>
      </c>
      <c r="O228" s="8" t="n">
        <v>15</v>
      </c>
      <c r="P228" s="8" t="n">
        <v>1515</v>
      </c>
      <c r="Q228" s="8" t="n">
        <v>4</v>
      </c>
      <c r="R228" s="8" t="n">
        <v>1519</v>
      </c>
      <c r="S228" s="8" t="n">
        <v>1642</v>
      </c>
    </row>
    <row r="229" customFormat="false" ht="15" hidden="false" customHeight="false" outlineLevel="0" collapsed="false">
      <c r="A229" s="8" t="n">
        <v>2018</v>
      </c>
      <c r="B229" s="8" t="s">
        <v>138</v>
      </c>
      <c r="C229" s="8" t="s">
        <v>200</v>
      </c>
      <c r="D229" s="8" t="s">
        <v>219</v>
      </c>
      <c r="E229" s="8"/>
      <c r="F229" s="8" t="n">
        <v>432</v>
      </c>
      <c r="G229" s="8" t="n">
        <v>49</v>
      </c>
      <c r="H229" s="8" t="n">
        <v>243</v>
      </c>
      <c r="I229" s="8" t="n">
        <v>489</v>
      </c>
      <c r="J229" s="8" t="n">
        <v>36</v>
      </c>
      <c r="K229" s="8" t="n">
        <v>16</v>
      </c>
      <c r="L229" s="8" t="n">
        <v>6</v>
      </c>
      <c r="M229" s="8" t="n">
        <v>42</v>
      </c>
      <c r="N229" s="8" t="n">
        <v>0</v>
      </c>
      <c r="O229" s="8" t="n">
        <v>15</v>
      </c>
      <c r="P229" s="8" t="n">
        <v>1328</v>
      </c>
      <c r="Q229" s="8" t="n">
        <v>12</v>
      </c>
      <c r="R229" s="8" t="n">
        <v>1343</v>
      </c>
      <c r="S229" s="8" t="n">
        <v>1522</v>
      </c>
    </row>
    <row r="230" customFormat="false" ht="15" hidden="false" customHeight="false" outlineLevel="0" collapsed="false">
      <c r="A230" s="8" t="n">
        <v>2018</v>
      </c>
      <c r="B230" s="8" t="s">
        <v>138</v>
      </c>
      <c r="C230" s="8" t="s">
        <v>202</v>
      </c>
      <c r="D230" s="8" t="s">
        <v>75</v>
      </c>
      <c r="E230" s="8"/>
      <c r="F230" s="8" t="n">
        <v>164</v>
      </c>
      <c r="G230" s="8" t="n">
        <v>92</v>
      </c>
      <c r="H230" s="8" t="n">
        <v>157</v>
      </c>
      <c r="I230" s="8" t="n">
        <v>1000</v>
      </c>
      <c r="J230" s="8" t="n">
        <v>14</v>
      </c>
      <c r="K230" s="8" t="n">
        <v>13</v>
      </c>
      <c r="L230" s="8" t="n">
        <v>9</v>
      </c>
      <c r="M230" s="8" t="n">
        <v>24</v>
      </c>
      <c r="N230" s="8" t="n">
        <v>0</v>
      </c>
      <c r="O230" s="8" t="n">
        <v>9</v>
      </c>
      <c r="P230" s="8" t="n">
        <v>1482</v>
      </c>
      <c r="Q230" s="8" t="n">
        <v>11</v>
      </c>
      <c r="R230" s="8" t="n">
        <v>1493</v>
      </c>
      <c r="S230" s="8" t="n">
        <v>1608</v>
      </c>
    </row>
    <row r="231" customFormat="false" ht="15" hidden="false" customHeight="false" outlineLevel="0" collapsed="false">
      <c r="A231" s="8" t="n">
        <v>2018</v>
      </c>
      <c r="B231" s="8" t="s">
        <v>138</v>
      </c>
      <c r="C231" s="8" t="s">
        <v>204</v>
      </c>
      <c r="D231" s="8" t="s">
        <v>81</v>
      </c>
      <c r="E231" s="8"/>
      <c r="F231" s="8" t="n">
        <v>29</v>
      </c>
      <c r="G231" s="8" t="n">
        <v>24</v>
      </c>
      <c r="H231" s="8" t="n">
        <v>61</v>
      </c>
      <c r="I231" s="8" t="n">
        <v>97</v>
      </c>
      <c r="J231" s="8" t="n">
        <v>14</v>
      </c>
      <c r="K231" s="8" t="n">
        <v>44</v>
      </c>
      <c r="L231" s="8" t="n">
        <v>0</v>
      </c>
      <c r="M231" s="8" t="n">
        <v>8</v>
      </c>
      <c r="N231" s="8" t="n">
        <v>0</v>
      </c>
      <c r="O231" s="8" t="n">
        <v>8</v>
      </c>
      <c r="P231" s="8" t="n">
        <v>285</v>
      </c>
      <c r="Q231" s="8" t="n">
        <v>1</v>
      </c>
      <c r="R231" s="8" t="n">
        <v>286</v>
      </c>
      <c r="S231" s="8" t="n">
        <v>327</v>
      </c>
    </row>
    <row r="232" customFormat="false" ht="15" hidden="false" customHeight="false" outlineLevel="0" collapsed="false">
      <c r="A232" s="8" t="n">
        <v>2018</v>
      </c>
      <c r="B232" s="8" t="s">
        <v>138</v>
      </c>
      <c r="C232" s="8" t="s">
        <v>206</v>
      </c>
      <c r="D232" s="8" t="s">
        <v>83</v>
      </c>
      <c r="E232" s="8"/>
      <c r="F232" s="8" t="n">
        <v>175</v>
      </c>
      <c r="G232" s="8" t="n">
        <v>129</v>
      </c>
      <c r="H232" s="8" t="n">
        <v>301</v>
      </c>
      <c r="I232" s="8" t="n">
        <v>350</v>
      </c>
      <c r="J232" s="8" t="n">
        <v>27</v>
      </c>
      <c r="K232" s="8" t="n">
        <v>74</v>
      </c>
      <c r="L232" s="8" t="n">
        <v>14</v>
      </c>
      <c r="M232" s="8" t="n">
        <v>40</v>
      </c>
      <c r="N232" s="8" t="n">
        <v>0</v>
      </c>
      <c r="O232" s="8" t="n">
        <v>4</v>
      </c>
      <c r="P232" s="8" t="n">
        <v>1114</v>
      </c>
      <c r="Q232" s="8" t="n">
        <v>7</v>
      </c>
      <c r="R232" s="8" t="n">
        <v>1121</v>
      </c>
      <c r="S232" s="8" t="n">
        <v>1304</v>
      </c>
    </row>
    <row r="233" customFormat="false" ht="15" hidden="false" customHeight="false" outlineLevel="0" collapsed="false">
      <c r="A233" s="8" t="n">
        <v>2018</v>
      </c>
      <c r="B233" s="8" t="s">
        <v>138</v>
      </c>
      <c r="C233" s="8" t="s">
        <v>230</v>
      </c>
      <c r="D233" s="8" t="s">
        <v>85</v>
      </c>
      <c r="E233" s="8"/>
      <c r="F233" s="8" t="n">
        <v>222</v>
      </c>
      <c r="G233" s="8" t="n">
        <v>170</v>
      </c>
      <c r="H233" s="8" t="n">
        <v>322</v>
      </c>
      <c r="I233" s="8" t="n">
        <v>567</v>
      </c>
      <c r="J233" s="8" t="n">
        <v>30</v>
      </c>
      <c r="K233" s="8" t="n">
        <v>27</v>
      </c>
      <c r="L233" s="8" t="n">
        <v>12</v>
      </c>
      <c r="M233" s="8" t="n">
        <v>37</v>
      </c>
      <c r="N233" s="8" t="n">
        <v>0</v>
      </c>
      <c r="O233" s="8" t="n">
        <v>8</v>
      </c>
      <c r="P233" s="8" t="n">
        <v>1395</v>
      </c>
      <c r="Q233" s="8" t="n">
        <v>19</v>
      </c>
      <c r="R233" s="8" t="n">
        <v>1414</v>
      </c>
      <c r="S233" s="8" t="n">
        <v>1684</v>
      </c>
    </row>
    <row r="234" customFormat="false" ht="15" hidden="false" customHeight="false" outlineLevel="0" collapsed="false">
      <c r="A234" s="8" t="n">
        <v>2018</v>
      </c>
      <c r="B234" s="8" t="s">
        <v>138</v>
      </c>
      <c r="C234" s="8" t="s">
        <v>208</v>
      </c>
      <c r="D234" s="8" t="s">
        <v>87</v>
      </c>
      <c r="E234" s="8"/>
      <c r="F234" s="8" t="n">
        <v>194</v>
      </c>
      <c r="G234" s="8" t="n">
        <v>133</v>
      </c>
      <c r="H234" s="8" t="n">
        <v>248</v>
      </c>
      <c r="I234" s="8" t="n">
        <v>469</v>
      </c>
      <c r="J234" s="8" t="n">
        <v>15</v>
      </c>
      <c r="K234" s="8" t="n">
        <v>29</v>
      </c>
      <c r="L234" s="8" t="n">
        <v>6</v>
      </c>
      <c r="M234" s="8" t="n">
        <v>19</v>
      </c>
      <c r="N234" s="8" t="n">
        <v>0</v>
      </c>
      <c r="O234" s="8" t="n">
        <v>9</v>
      </c>
      <c r="P234" s="8" t="n">
        <v>1122</v>
      </c>
      <c r="Q234" s="8" t="n">
        <v>9</v>
      </c>
      <c r="R234" s="8" t="n">
        <v>1134</v>
      </c>
      <c r="S234" s="8" t="n">
        <v>1249</v>
      </c>
    </row>
    <row r="235" customFormat="false" ht="15" hidden="false" customHeight="false" outlineLevel="0" collapsed="false">
      <c r="A235" s="8" t="n">
        <v>2018</v>
      </c>
      <c r="B235" s="8" t="s">
        <v>138</v>
      </c>
      <c r="C235" s="8" t="s">
        <v>210</v>
      </c>
      <c r="D235" s="8" t="s">
        <v>89</v>
      </c>
      <c r="E235" s="8"/>
      <c r="F235" s="8" t="n">
        <v>255</v>
      </c>
      <c r="G235" s="8" t="n">
        <v>132</v>
      </c>
      <c r="H235" s="8" t="n">
        <v>366</v>
      </c>
      <c r="I235" s="8" t="n">
        <v>515</v>
      </c>
      <c r="J235" s="8" t="n">
        <v>28</v>
      </c>
      <c r="K235" s="8" t="n">
        <v>34</v>
      </c>
      <c r="L235" s="8" t="n">
        <v>10</v>
      </c>
      <c r="M235" s="8" t="n">
        <v>29</v>
      </c>
      <c r="N235" s="8" t="n">
        <v>0</v>
      </c>
      <c r="O235" s="8" t="n">
        <v>14</v>
      </c>
      <c r="P235" s="8" t="n">
        <v>1383</v>
      </c>
      <c r="Q235" s="8" t="n">
        <v>12</v>
      </c>
      <c r="R235" s="8" t="n">
        <v>1396</v>
      </c>
      <c r="S235" s="8" t="n">
        <v>1619</v>
      </c>
    </row>
    <row r="236" customFormat="false" ht="15" hidden="false" customHeight="false" outlineLevel="0" collapsed="false">
      <c r="A236" s="8" t="n">
        <v>2018</v>
      </c>
      <c r="B236" s="8" t="s">
        <v>138</v>
      </c>
      <c r="C236" s="8" t="s">
        <v>212</v>
      </c>
      <c r="D236" s="8" t="s">
        <v>222</v>
      </c>
      <c r="E236" s="8"/>
      <c r="F236" s="8" t="n">
        <v>260</v>
      </c>
      <c r="G236" s="8" t="n">
        <v>253</v>
      </c>
      <c r="H236" s="8" t="n">
        <v>240</v>
      </c>
      <c r="I236" s="8" t="n">
        <v>870</v>
      </c>
      <c r="J236" s="8" t="n">
        <v>33</v>
      </c>
      <c r="K236" s="8" t="n">
        <v>76</v>
      </c>
      <c r="L236" s="8" t="n">
        <v>13</v>
      </c>
      <c r="M236" s="8" t="n">
        <v>66</v>
      </c>
      <c r="N236" s="8" t="n">
        <v>0</v>
      </c>
      <c r="O236" s="8" t="n">
        <v>17</v>
      </c>
      <c r="P236" s="8" t="n">
        <v>1828</v>
      </c>
      <c r="Q236" s="8" t="n">
        <v>9</v>
      </c>
      <c r="R236" s="8" t="n">
        <v>1838</v>
      </c>
      <c r="S236" s="8" t="n">
        <v>2025</v>
      </c>
    </row>
    <row r="237" customFormat="false" ht="15" hidden="false" customHeight="false" outlineLevel="0" collapsed="false">
      <c r="A237" s="8" t="n">
        <v>2018</v>
      </c>
      <c r="B237" s="8" t="s">
        <v>138</v>
      </c>
      <c r="C237" s="8" t="s">
        <v>214</v>
      </c>
      <c r="D237" s="8" t="s">
        <v>91</v>
      </c>
      <c r="E237" s="8"/>
      <c r="F237" s="8" t="n">
        <v>205</v>
      </c>
      <c r="G237" s="8" t="n">
        <v>88</v>
      </c>
      <c r="H237" s="8" t="n">
        <v>270</v>
      </c>
      <c r="I237" s="8" t="n">
        <v>382</v>
      </c>
      <c r="J237" s="8" t="n">
        <v>43</v>
      </c>
      <c r="K237" s="8" t="n">
        <v>43</v>
      </c>
      <c r="L237" s="8" t="n">
        <v>6</v>
      </c>
      <c r="M237" s="8" t="n">
        <v>31</v>
      </c>
      <c r="N237" s="8" t="n">
        <v>0</v>
      </c>
      <c r="O237" s="8" t="n">
        <v>12</v>
      </c>
      <c r="P237" s="8" t="n">
        <v>1080</v>
      </c>
      <c r="Q237" s="8" t="n">
        <v>6</v>
      </c>
      <c r="R237" s="8" t="n">
        <v>1091</v>
      </c>
      <c r="S237" s="8" t="n">
        <v>1246</v>
      </c>
    </row>
    <row r="238" customFormat="false" ht="15" hidden="false" customHeight="false" outlineLevel="0" collapsed="false">
      <c r="A238" s="8" t="n">
        <v>2018</v>
      </c>
      <c r="B238" s="8" t="s">
        <v>138</v>
      </c>
      <c r="C238" s="8" t="s">
        <v>231</v>
      </c>
      <c r="D238" s="8" t="s">
        <v>14</v>
      </c>
      <c r="E238" s="8" t="s">
        <v>218</v>
      </c>
      <c r="F238" s="8" t="n">
        <v>126</v>
      </c>
      <c r="G238" s="8" t="n">
        <v>44</v>
      </c>
      <c r="H238" s="8" t="n">
        <v>65</v>
      </c>
      <c r="I238" s="8" t="n">
        <v>87</v>
      </c>
      <c r="J238" s="8" t="n">
        <v>33</v>
      </c>
      <c r="K238" s="8" t="n">
        <v>17</v>
      </c>
      <c r="L238" s="8" t="n">
        <v>8</v>
      </c>
      <c r="M238" s="8" t="n">
        <v>19</v>
      </c>
      <c r="N238" s="8" t="n">
        <v>0</v>
      </c>
      <c r="O238" s="8" t="n">
        <v>10</v>
      </c>
      <c r="P238" s="8" t="n">
        <v>409</v>
      </c>
      <c r="Q238" s="8" t="n">
        <v>6</v>
      </c>
      <c r="R238" s="8" t="n">
        <v>418</v>
      </c>
      <c r="S238" s="8" t="n">
        <v>0</v>
      </c>
    </row>
    <row r="239" customFormat="false" ht="15" hidden="false" customHeight="false" outlineLevel="0" collapsed="false">
      <c r="A239" s="8" t="n">
        <v>2018</v>
      </c>
      <c r="B239" s="8" t="s">
        <v>140</v>
      </c>
      <c r="C239" s="8" t="s">
        <v>172</v>
      </c>
      <c r="D239" s="8" t="s">
        <v>45</v>
      </c>
      <c r="E239" s="8"/>
      <c r="F239" s="8" t="n">
        <v>400</v>
      </c>
      <c r="G239" s="8" t="n">
        <v>257</v>
      </c>
      <c r="H239" s="8" t="n">
        <v>408</v>
      </c>
      <c r="I239" s="8" t="n">
        <v>117</v>
      </c>
      <c r="J239" s="8" t="n">
        <v>74</v>
      </c>
      <c r="K239" s="8" t="n">
        <v>47</v>
      </c>
      <c r="L239" s="8" t="n">
        <v>64</v>
      </c>
      <c r="M239" s="8" t="n">
        <v>42</v>
      </c>
      <c r="N239" s="8" t="n">
        <v>0</v>
      </c>
      <c r="O239" s="8" t="n">
        <v>10</v>
      </c>
      <c r="P239" s="8" t="n">
        <v>1419</v>
      </c>
      <c r="Q239" s="8" t="n">
        <v>17</v>
      </c>
      <c r="R239" s="8" t="n">
        <v>1438</v>
      </c>
      <c r="S239" s="8" t="n">
        <v>1707</v>
      </c>
    </row>
    <row r="240" customFormat="false" ht="15" hidden="false" customHeight="false" outlineLevel="0" collapsed="false">
      <c r="A240" s="8" t="n">
        <v>2018</v>
      </c>
      <c r="B240" s="8" t="s">
        <v>140</v>
      </c>
      <c r="C240" s="8" t="s">
        <v>174</v>
      </c>
      <c r="D240" s="8" t="s">
        <v>47</v>
      </c>
      <c r="E240" s="8"/>
      <c r="F240" s="8" t="n">
        <v>335</v>
      </c>
      <c r="G240" s="8" t="n">
        <v>171</v>
      </c>
      <c r="H240" s="8" t="n">
        <v>281</v>
      </c>
      <c r="I240" s="8" t="n">
        <v>84</v>
      </c>
      <c r="J240" s="8" t="n">
        <v>70</v>
      </c>
      <c r="K240" s="8" t="n">
        <v>47</v>
      </c>
      <c r="L240" s="8" t="n">
        <v>49</v>
      </c>
      <c r="M240" s="8" t="n">
        <v>42</v>
      </c>
      <c r="N240" s="8" t="n">
        <v>0</v>
      </c>
      <c r="O240" s="8" t="n">
        <v>21</v>
      </c>
      <c r="P240" s="8" t="n">
        <v>1100</v>
      </c>
      <c r="Q240" s="8" t="n">
        <v>14</v>
      </c>
      <c r="R240" s="8" t="n">
        <v>1118</v>
      </c>
      <c r="S240" s="8" t="n">
        <v>1446</v>
      </c>
    </row>
    <row r="241" customFormat="false" ht="15" hidden="false" customHeight="false" outlineLevel="0" collapsed="false">
      <c r="A241" s="8" t="n">
        <v>2018</v>
      </c>
      <c r="B241" s="8" t="s">
        <v>140</v>
      </c>
      <c r="C241" s="8" t="s">
        <v>176</v>
      </c>
      <c r="D241" s="8" t="s">
        <v>49</v>
      </c>
      <c r="E241" s="8"/>
      <c r="F241" s="8" t="n">
        <v>380</v>
      </c>
      <c r="G241" s="8" t="n">
        <v>166</v>
      </c>
      <c r="H241" s="8" t="n">
        <v>300</v>
      </c>
      <c r="I241" s="8" t="n">
        <v>58</v>
      </c>
      <c r="J241" s="8" t="n">
        <v>105</v>
      </c>
      <c r="K241" s="8" t="n">
        <v>53</v>
      </c>
      <c r="L241" s="8" t="n">
        <v>31</v>
      </c>
      <c r="M241" s="8" t="n">
        <v>42</v>
      </c>
      <c r="N241" s="8" t="n">
        <v>0</v>
      </c>
      <c r="O241" s="8" t="n">
        <v>37</v>
      </c>
      <c r="P241" s="8" t="n">
        <v>1172</v>
      </c>
      <c r="Q241" s="8" t="n">
        <v>17</v>
      </c>
      <c r="R241" s="8" t="n">
        <v>1191</v>
      </c>
      <c r="S241" s="8" t="n">
        <v>1623</v>
      </c>
    </row>
    <row r="242" customFormat="false" ht="15" hidden="false" customHeight="false" outlineLevel="0" collapsed="false">
      <c r="A242" s="8" t="n">
        <v>2018</v>
      </c>
      <c r="B242" s="8" t="s">
        <v>140</v>
      </c>
      <c r="C242" s="8" t="s">
        <v>178</v>
      </c>
      <c r="D242" s="8" t="s">
        <v>51</v>
      </c>
      <c r="E242" s="8"/>
      <c r="F242" s="8" t="n">
        <v>510</v>
      </c>
      <c r="G242" s="8" t="n">
        <v>99</v>
      </c>
      <c r="H242" s="8" t="n">
        <v>232</v>
      </c>
      <c r="I242" s="8" t="n">
        <v>55</v>
      </c>
      <c r="J242" s="8" t="n">
        <v>97</v>
      </c>
      <c r="K242" s="8" t="n">
        <v>28</v>
      </c>
      <c r="L242" s="8" t="n">
        <v>22</v>
      </c>
      <c r="M242" s="8" t="n">
        <v>32</v>
      </c>
      <c r="N242" s="8" t="n">
        <v>0</v>
      </c>
      <c r="O242" s="8" t="n">
        <v>18</v>
      </c>
      <c r="P242" s="8" t="n">
        <v>1093</v>
      </c>
      <c r="Q242" s="8" t="n">
        <v>10</v>
      </c>
      <c r="R242" s="8" t="n">
        <v>1105</v>
      </c>
      <c r="S242" s="8" t="n">
        <v>1557</v>
      </c>
    </row>
    <row r="243" customFormat="false" ht="15" hidden="false" customHeight="false" outlineLevel="0" collapsed="false">
      <c r="A243" s="8" t="n">
        <v>2018</v>
      </c>
      <c r="B243" s="8" t="s">
        <v>140</v>
      </c>
      <c r="C243" s="8" t="s">
        <v>180</v>
      </c>
      <c r="D243" s="8" t="s">
        <v>53</v>
      </c>
      <c r="E243" s="8"/>
      <c r="F243" s="8" t="n">
        <v>426</v>
      </c>
      <c r="G243" s="8" t="n">
        <v>108</v>
      </c>
      <c r="H243" s="8" t="n">
        <v>201</v>
      </c>
      <c r="I243" s="8" t="n">
        <v>38</v>
      </c>
      <c r="J243" s="8" t="n">
        <v>115</v>
      </c>
      <c r="K243" s="8" t="n">
        <v>24</v>
      </c>
      <c r="L243" s="8" t="n">
        <v>21</v>
      </c>
      <c r="M243" s="8" t="n">
        <v>32</v>
      </c>
      <c r="N243" s="8" t="n">
        <v>0</v>
      </c>
      <c r="O243" s="8" t="n">
        <v>16</v>
      </c>
      <c r="P243" s="8" t="n">
        <v>981</v>
      </c>
      <c r="Q243" s="8" t="n">
        <v>11</v>
      </c>
      <c r="R243" s="8" t="n">
        <v>992</v>
      </c>
      <c r="S243" s="8" t="n">
        <v>1468</v>
      </c>
    </row>
    <row r="244" customFormat="false" ht="15" hidden="false" customHeight="false" outlineLevel="0" collapsed="false">
      <c r="A244" s="8" t="n">
        <v>2018</v>
      </c>
      <c r="B244" s="8" t="s">
        <v>140</v>
      </c>
      <c r="C244" s="8" t="s">
        <v>182</v>
      </c>
      <c r="D244" s="8" t="s">
        <v>55</v>
      </c>
      <c r="E244" s="8"/>
      <c r="F244" s="8" t="n">
        <v>506</v>
      </c>
      <c r="G244" s="8" t="n">
        <v>115</v>
      </c>
      <c r="H244" s="8" t="n">
        <v>236</v>
      </c>
      <c r="I244" s="8" t="n">
        <v>52</v>
      </c>
      <c r="J244" s="8" t="n">
        <v>104</v>
      </c>
      <c r="K244" s="8" t="n">
        <v>26</v>
      </c>
      <c r="L244" s="8" t="n">
        <v>24</v>
      </c>
      <c r="M244" s="8" t="n">
        <v>36</v>
      </c>
      <c r="N244" s="8" t="n">
        <v>0</v>
      </c>
      <c r="O244" s="8" t="n">
        <v>11</v>
      </c>
      <c r="P244" s="8" t="n">
        <v>1110</v>
      </c>
      <c r="Q244" s="8" t="n">
        <v>12</v>
      </c>
      <c r="R244" s="8" t="n">
        <v>1123</v>
      </c>
      <c r="S244" s="8" t="n">
        <v>1533</v>
      </c>
    </row>
    <row r="245" customFormat="false" ht="15" hidden="false" customHeight="false" outlineLevel="0" collapsed="false">
      <c r="A245" s="8" t="n">
        <v>2018</v>
      </c>
      <c r="B245" s="8" t="s">
        <v>140</v>
      </c>
      <c r="C245" s="8" t="s">
        <v>184</v>
      </c>
      <c r="D245" s="8" t="s">
        <v>57</v>
      </c>
      <c r="E245" s="8"/>
      <c r="F245" s="8" t="n">
        <v>410</v>
      </c>
      <c r="G245" s="8" t="n">
        <v>174</v>
      </c>
      <c r="H245" s="8" t="n">
        <v>272</v>
      </c>
      <c r="I245" s="8" t="n">
        <v>92</v>
      </c>
      <c r="J245" s="8" t="n">
        <v>77</v>
      </c>
      <c r="K245" s="8" t="n">
        <v>58</v>
      </c>
      <c r="L245" s="8" t="n">
        <v>38</v>
      </c>
      <c r="M245" s="8" t="n">
        <v>45</v>
      </c>
      <c r="N245" s="8" t="n">
        <v>0</v>
      </c>
      <c r="O245" s="8" t="n">
        <v>20</v>
      </c>
      <c r="P245" s="8" t="n">
        <v>1186</v>
      </c>
      <c r="Q245" s="8" t="n">
        <v>13</v>
      </c>
      <c r="R245" s="8" t="n">
        <v>1200</v>
      </c>
      <c r="S245" s="8" t="n">
        <v>1578</v>
      </c>
    </row>
    <row r="246" customFormat="false" ht="15" hidden="false" customHeight="false" outlineLevel="0" collapsed="false">
      <c r="A246" s="8" t="n">
        <v>2018</v>
      </c>
      <c r="B246" s="8" t="s">
        <v>140</v>
      </c>
      <c r="C246" s="8" t="s">
        <v>186</v>
      </c>
      <c r="D246" s="8" t="s">
        <v>59</v>
      </c>
      <c r="E246" s="8"/>
      <c r="F246" s="8" t="n">
        <v>439</v>
      </c>
      <c r="G246" s="8" t="n">
        <v>124</v>
      </c>
      <c r="H246" s="8" t="n">
        <v>297</v>
      </c>
      <c r="I246" s="8" t="n">
        <v>54</v>
      </c>
      <c r="J246" s="8" t="n">
        <v>80</v>
      </c>
      <c r="K246" s="8" t="n">
        <v>32</v>
      </c>
      <c r="L246" s="8" t="n">
        <v>26</v>
      </c>
      <c r="M246" s="8" t="n">
        <v>47</v>
      </c>
      <c r="N246" s="8" t="n">
        <v>0</v>
      </c>
      <c r="O246" s="8" t="n">
        <v>15</v>
      </c>
      <c r="P246" s="8" t="n">
        <v>1114</v>
      </c>
      <c r="Q246" s="8" t="n">
        <v>12</v>
      </c>
      <c r="R246" s="8" t="n">
        <v>1128</v>
      </c>
      <c r="S246" s="8" t="n">
        <v>1554</v>
      </c>
    </row>
    <row r="247" customFormat="false" ht="15" hidden="false" customHeight="false" outlineLevel="0" collapsed="false">
      <c r="A247" s="8" t="n">
        <v>2018</v>
      </c>
      <c r="B247" s="8" t="s">
        <v>140</v>
      </c>
      <c r="C247" s="8" t="s">
        <v>188</v>
      </c>
      <c r="D247" s="8" t="s">
        <v>61</v>
      </c>
      <c r="E247" s="8"/>
      <c r="F247" s="8" t="n">
        <v>358</v>
      </c>
      <c r="G247" s="8" t="n">
        <v>146</v>
      </c>
      <c r="H247" s="8" t="n">
        <v>329</v>
      </c>
      <c r="I247" s="8" t="n">
        <v>75</v>
      </c>
      <c r="J247" s="8" t="n">
        <v>58</v>
      </c>
      <c r="K247" s="8" t="n">
        <v>35</v>
      </c>
      <c r="L247" s="8" t="n">
        <v>37</v>
      </c>
      <c r="M247" s="8" t="n">
        <v>36</v>
      </c>
      <c r="N247" s="8" t="n">
        <v>0</v>
      </c>
      <c r="O247" s="8" t="n">
        <v>20</v>
      </c>
      <c r="P247" s="8" t="n">
        <v>1094</v>
      </c>
      <c r="Q247" s="8" t="n">
        <v>17</v>
      </c>
      <c r="R247" s="8" t="n">
        <v>1114</v>
      </c>
      <c r="S247" s="8" t="n">
        <v>1368</v>
      </c>
    </row>
    <row r="248" customFormat="false" ht="15" hidden="false" customHeight="false" outlineLevel="0" collapsed="false">
      <c r="A248" s="8" t="n">
        <v>2018</v>
      </c>
      <c r="B248" s="8" t="s">
        <v>140</v>
      </c>
      <c r="C248" s="8" t="s">
        <v>190</v>
      </c>
      <c r="D248" s="8" t="s">
        <v>63</v>
      </c>
      <c r="E248" s="8"/>
      <c r="F248" s="8" t="n">
        <v>342</v>
      </c>
      <c r="G248" s="8" t="n">
        <v>76</v>
      </c>
      <c r="H248" s="8" t="n">
        <v>267</v>
      </c>
      <c r="I248" s="8" t="n">
        <v>33</v>
      </c>
      <c r="J248" s="8" t="n">
        <v>43</v>
      </c>
      <c r="K248" s="8" t="n">
        <v>9</v>
      </c>
      <c r="L248" s="8" t="n">
        <v>23</v>
      </c>
      <c r="M248" s="8" t="n">
        <v>24</v>
      </c>
      <c r="N248" s="8" t="n">
        <v>0</v>
      </c>
      <c r="O248" s="8" t="n">
        <v>14</v>
      </c>
      <c r="P248" s="8" t="n">
        <v>831</v>
      </c>
      <c r="Q248" s="8" t="n">
        <v>11</v>
      </c>
      <c r="R248" s="8" t="n">
        <v>843</v>
      </c>
      <c r="S248" s="8" t="n">
        <v>1029</v>
      </c>
    </row>
    <row r="249" customFormat="false" ht="15" hidden="false" customHeight="false" outlineLevel="0" collapsed="false">
      <c r="A249" s="8" t="n">
        <v>2018</v>
      </c>
      <c r="B249" s="8" t="s">
        <v>140</v>
      </c>
      <c r="C249" s="8" t="s">
        <v>192</v>
      </c>
      <c r="D249" s="8" t="s">
        <v>65</v>
      </c>
      <c r="E249" s="8"/>
      <c r="F249" s="8" t="n">
        <v>452</v>
      </c>
      <c r="G249" s="8" t="n">
        <v>123</v>
      </c>
      <c r="H249" s="8" t="n">
        <v>194</v>
      </c>
      <c r="I249" s="8" t="n">
        <v>72</v>
      </c>
      <c r="J249" s="8" t="n">
        <v>39</v>
      </c>
      <c r="K249" s="8" t="n">
        <v>32</v>
      </c>
      <c r="L249" s="8" t="n">
        <v>32</v>
      </c>
      <c r="M249" s="8" t="n">
        <v>18</v>
      </c>
      <c r="N249" s="8" t="n">
        <v>0</v>
      </c>
      <c r="O249" s="8" t="n">
        <v>15</v>
      </c>
      <c r="P249" s="8" t="n">
        <v>977</v>
      </c>
      <c r="Q249" s="8" t="n">
        <v>7</v>
      </c>
      <c r="R249" s="8" t="n">
        <v>984</v>
      </c>
      <c r="S249" s="8" t="n">
        <v>1141</v>
      </c>
    </row>
    <row r="250" customFormat="false" ht="15" hidden="false" customHeight="false" outlineLevel="0" collapsed="false">
      <c r="A250" s="8" t="n">
        <v>2018</v>
      </c>
      <c r="B250" s="8" t="s">
        <v>140</v>
      </c>
      <c r="C250" s="8" t="s">
        <v>194</v>
      </c>
      <c r="D250" s="8" t="s">
        <v>67</v>
      </c>
      <c r="E250" s="8"/>
      <c r="F250" s="8" t="n">
        <v>494</v>
      </c>
      <c r="G250" s="8" t="n">
        <v>24</v>
      </c>
      <c r="H250" s="8" t="n">
        <v>131</v>
      </c>
      <c r="I250" s="8" t="n">
        <v>20</v>
      </c>
      <c r="J250" s="8" t="n">
        <v>80</v>
      </c>
      <c r="K250" s="8" t="n">
        <v>19</v>
      </c>
      <c r="L250" s="8" t="n">
        <v>12</v>
      </c>
      <c r="M250" s="8" t="n">
        <v>18</v>
      </c>
      <c r="N250" s="8" t="n">
        <v>0</v>
      </c>
      <c r="O250" s="8" t="n">
        <v>7</v>
      </c>
      <c r="P250" s="8" t="n">
        <v>805</v>
      </c>
      <c r="Q250" s="8" t="n">
        <v>3</v>
      </c>
      <c r="R250" s="8" t="n">
        <v>808</v>
      </c>
      <c r="S250" s="8" t="n">
        <v>1229</v>
      </c>
    </row>
    <row r="251" customFormat="false" ht="15" hidden="false" customHeight="false" outlineLevel="0" collapsed="false">
      <c r="A251" s="8" t="n">
        <v>2018</v>
      </c>
      <c r="B251" s="8" t="s">
        <v>140</v>
      </c>
      <c r="C251" s="8" t="s">
        <v>196</v>
      </c>
      <c r="D251" s="8" t="s">
        <v>69</v>
      </c>
      <c r="E251" s="8"/>
      <c r="F251" s="8" t="n">
        <v>440</v>
      </c>
      <c r="G251" s="8" t="n">
        <v>79</v>
      </c>
      <c r="H251" s="8" t="n">
        <v>188</v>
      </c>
      <c r="I251" s="8" t="n">
        <v>37</v>
      </c>
      <c r="J251" s="8" t="n">
        <v>58</v>
      </c>
      <c r="K251" s="8" t="n">
        <v>23</v>
      </c>
      <c r="L251" s="8" t="n">
        <v>19</v>
      </c>
      <c r="M251" s="8" t="n">
        <v>44</v>
      </c>
      <c r="N251" s="8" t="n">
        <v>0</v>
      </c>
      <c r="O251" s="8" t="n">
        <v>6</v>
      </c>
      <c r="P251" s="8" t="n">
        <v>894</v>
      </c>
      <c r="Q251" s="8" t="n">
        <v>15</v>
      </c>
      <c r="R251" s="8" t="n">
        <v>909</v>
      </c>
      <c r="S251" s="8" t="n">
        <v>1209</v>
      </c>
    </row>
    <row r="252" customFormat="false" ht="15" hidden="false" customHeight="false" outlineLevel="0" collapsed="false">
      <c r="A252" s="8" t="n">
        <v>2018</v>
      </c>
      <c r="B252" s="8" t="s">
        <v>140</v>
      </c>
      <c r="C252" s="8" t="s">
        <v>198</v>
      </c>
      <c r="D252" s="8" t="s">
        <v>71</v>
      </c>
      <c r="E252" s="8"/>
      <c r="F252" s="8" t="n">
        <v>506</v>
      </c>
      <c r="G252" s="8" t="n">
        <v>325</v>
      </c>
      <c r="H252" s="8" t="n">
        <v>338</v>
      </c>
      <c r="I252" s="8" t="n">
        <v>147</v>
      </c>
      <c r="J252" s="8" t="n">
        <v>43</v>
      </c>
      <c r="K252" s="8" t="n">
        <v>50</v>
      </c>
      <c r="L252" s="8" t="n">
        <v>55</v>
      </c>
      <c r="M252" s="8" t="n">
        <v>28</v>
      </c>
      <c r="N252" s="8" t="n">
        <v>0</v>
      </c>
      <c r="O252" s="8" t="n">
        <v>6</v>
      </c>
      <c r="P252" s="8" t="n">
        <v>1498</v>
      </c>
      <c r="Q252" s="8" t="n">
        <v>9</v>
      </c>
      <c r="R252" s="8" t="n">
        <v>1507</v>
      </c>
      <c r="S252" s="8" t="n">
        <v>1646</v>
      </c>
    </row>
    <row r="253" customFormat="false" ht="15" hidden="false" customHeight="false" outlineLevel="0" collapsed="false">
      <c r="A253" s="8" t="n">
        <v>2018</v>
      </c>
      <c r="B253" s="8" t="s">
        <v>140</v>
      </c>
      <c r="C253" s="8" t="s">
        <v>200</v>
      </c>
      <c r="D253" s="8" t="s">
        <v>219</v>
      </c>
      <c r="E253" s="8"/>
      <c r="F253" s="8" t="n">
        <v>521</v>
      </c>
      <c r="G253" s="8" t="n">
        <v>190</v>
      </c>
      <c r="H253" s="8" t="n">
        <v>342</v>
      </c>
      <c r="I253" s="8" t="n">
        <v>85</v>
      </c>
      <c r="J253" s="8" t="n">
        <v>45</v>
      </c>
      <c r="K253" s="8" t="n">
        <v>49</v>
      </c>
      <c r="L253" s="8" t="n">
        <v>45</v>
      </c>
      <c r="M253" s="8" t="n">
        <v>31</v>
      </c>
      <c r="N253" s="8" t="n">
        <v>0</v>
      </c>
      <c r="O253" s="8" t="n">
        <v>16</v>
      </c>
      <c r="P253" s="8" t="n">
        <v>1324</v>
      </c>
      <c r="Q253" s="8" t="n">
        <v>15</v>
      </c>
      <c r="R253" s="8" t="n">
        <v>1340</v>
      </c>
      <c r="S253" s="8" t="n">
        <v>1493</v>
      </c>
    </row>
    <row r="254" customFormat="false" ht="15" hidden="false" customHeight="false" outlineLevel="0" collapsed="false">
      <c r="A254" s="8" t="n">
        <v>2018</v>
      </c>
      <c r="B254" s="8" t="s">
        <v>140</v>
      </c>
      <c r="C254" s="8" t="s">
        <v>202</v>
      </c>
      <c r="D254" s="8" t="s">
        <v>75</v>
      </c>
      <c r="E254" s="8"/>
      <c r="F254" s="8" t="n">
        <v>235</v>
      </c>
      <c r="G254" s="8" t="n">
        <v>515</v>
      </c>
      <c r="H254" s="8" t="n">
        <v>291</v>
      </c>
      <c r="I254" s="8" t="n">
        <v>173</v>
      </c>
      <c r="J254" s="8" t="n">
        <v>27</v>
      </c>
      <c r="K254" s="8" t="n">
        <v>87</v>
      </c>
      <c r="L254" s="8" t="n">
        <v>102</v>
      </c>
      <c r="M254" s="8" t="n">
        <v>39</v>
      </c>
      <c r="N254" s="8" t="n">
        <v>0</v>
      </c>
      <c r="O254" s="8" t="n">
        <v>16</v>
      </c>
      <c r="P254" s="8" t="n">
        <v>1485</v>
      </c>
      <c r="Q254" s="8" t="n">
        <v>11</v>
      </c>
      <c r="R254" s="8" t="n">
        <v>1496</v>
      </c>
      <c r="S254" s="8" t="n">
        <v>1628</v>
      </c>
    </row>
    <row r="255" customFormat="false" ht="15" hidden="false" customHeight="false" outlineLevel="0" collapsed="false">
      <c r="A255" s="8" t="n">
        <v>2018</v>
      </c>
      <c r="B255" s="8" t="s">
        <v>140</v>
      </c>
      <c r="C255" s="8" t="s">
        <v>204</v>
      </c>
      <c r="D255" s="8" t="s">
        <v>81</v>
      </c>
      <c r="E255" s="8"/>
      <c r="F255" s="8" t="n">
        <v>42</v>
      </c>
      <c r="G255" s="8" t="n">
        <v>51</v>
      </c>
      <c r="H255" s="8" t="n">
        <v>80</v>
      </c>
      <c r="I255" s="8" t="n">
        <v>27</v>
      </c>
      <c r="J255" s="8" t="n">
        <v>15</v>
      </c>
      <c r="K255" s="8" t="n">
        <v>30</v>
      </c>
      <c r="L255" s="8" t="n">
        <v>16</v>
      </c>
      <c r="M255" s="8" t="n">
        <v>8</v>
      </c>
      <c r="N255" s="8" t="n">
        <v>0</v>
      </c>
      <c r="O255" s="8" t="n">
        <v>7</v>
      </c>
      <c r="P255" s="8" t="n">
        <v>276</v>
      </c>
      <c r="Q255" s="8" t="n">
        <v>2</v>
      </c>
      <c r="R255" s="8" t="n">
        <v>278</v>
      </c>
      <c r="S255" s="8" t="n">
        <v>329</v>
      </c>
    </row>
    <row r="256" customFormat="false" ht="15" hidden="false" customHeight="false" outlineLevel="0" collapsed="false">
      <c r="A256" s="8" t="n">
        <v>2018</v>
      </c>
      <c r="B256" s="8" t="s">
        <v>140</v>
      </c>
      <c r="C256" s="8" t="s">
        <v>206</v>
      </c>
      <c r="D256" s="8" t="s">
        <v>83</v>
      </c>
      <c r="E256" s="8"/>
      <c r="F256" s="8" t="n">
        <v>199</v>
      </c>
      <c r="G256" s="8" t="n">
        <v>223</v>
      </c>
      <c r="H256" s="8" t="n">
        <v>370</v>
      </c>
      <c r="I256" s="8" t="n">
        <v>74</v>
      </c>
      <c r="J256" s="8" t="n">
        <v>31</v>
      </c>
      <c r="K256" s="8" t="n">
        <v>88</v>
      </c>
      <c r="L256" s="8" t="n">
        <v>70</v>
      </c>
      <c r="M256" s="8" t="n">
        <v>44</v>
      </c>
      <c r="N256" s="8" t="n">
        <v>0</v>
      </c>
      <c r="O256" s="8" t="n">
        <v>9</v>
      </c>
      <c r="P256" s="8" t="n">
        <v>1108</v>
      </c>
      <c r="Q256" s="8" t="n">
        <v>6</v>
      </c>
      <c r="R256" s="8" t="n">
        <v>1114</v>
      </c>
      <c r="S256" s="8" t="n">
        <v>1264</v>
      </c>
    </row>
    <row r="257" customFormat="false" ht="15" hidden="false" customHeight="false" outlineLevel="0" collapsed="false">
      <c r="A257" s="8" t="n">
        <v>2018</v>
      </c>
      <c r="B257" s="8" t="s">
        <v>140</v>
      </c>
      <c r="C257" s="8" t="s">
        <v>230</v>
      </c>
      <c r="D257" s="8" t="s">
        <v>85</v>
      </c>
      <c r="E257" s="8"/>
      <c r="F257" s="8" t="n">
        <v>291</v>
      </c>
      <c r="G257" s="8" t="n">
        <v>371</v>
      </c>
      <c r="H257" s="8" t="n">
        <v>444</v>
      </c>
      <c r="I257" s="8" t="n">
        <v>68</v>
      </c>
      <c r="J257" s="8" t="n">
        <v>35</v>
      </c>
      <c r="K257" s="8" t="n">
        <v>66</v>
      </c>
      <c r="L257" s="8" t="n">
        <v>60</v>
      </c>
      <c r="M257" s="8" t="n">
        <v>35</v>
      </c>
      <c r="N257" s="8" t="n">
        <v>0</v>
      </c>
      <c r="O257" s="8" t="n">
        <v>16</v>
      </c>
      <c r="P257" s="8" t="n">
        <v>1386</v>
      </c>
      <c r="Q257" s="8" t="n">
        <v>16</v>
      </c>
      <c r="R257" s="8" t="n">
        <v>1402</v>
      </c>
      <c r="S257" s="8" t="n">
        <v>1624</v>
      </c>
    </row>
    <row r="258" customFormat="false" ht="15" hidden="false" customHeight="false" outlineLevel="0" collapsed="false">
      <c r="A258" s="8" t="n">
        <v>2018</v>
      </c>
      <c r="B258" s="8" t="s">
        <v>140</v>
      </c>
      <c r="C258" s="8" t="s">
        <v>208</v>
      </c>
      <c r="D258" s="8" t="s">
        <v>87</v>
      </c>
      <c r="E258" s="8"/>
      <c r="F258" s="8" t="n">
        <v>255</v>
      </c>
      <c r="G258" s="8" t="n">
        <v>264</v>
      </c>
      <c r="H258" s="8" t="n">
        <v>357</v>
      </c>
      <c r="I258" s="8" t="n">
        <v>93</v>
      </c>
      <c r="J258" s="8" t="n">
        <v>20</v>
      </c>
      <c r="K258" s="8" t="n">
        <v>53</v>
      </c>
      <c r="L258" s="8" t="n">
        <v>49</v>
      </c>
      <c r="M258" s="8" t="n">
        <v>17</v>
      </c>
      <c r="N258" s="8" t="n">
        <v>0</v>
      </c>
      <c r="O258" s="8" t="n">
        <v>7</v>
      </c>
      <c r="P258" s="8" t="n">
        <v>1115</v>
      </c>
      <c r="Q258" s="8" t="n">
        <v>10</v>
      </c>
      <c r="R258" s="8" t="n">
        <v>1127</v>
      </c>
      <c r="S258" s="8" t="n">
        <v>1240</v>
      </c>
    </row>
    <row r="259" customFormat="false" ht="15" hidden="false" customHeight="false" outlineLevel="0" collapsed="false">
      <c r="A259" s="8" t="n">
        <v>2018</v>
      </c>
      <c r="B259" s="8" t="s">
        <v>140</v>
      </c>
      <c r="C259" s="8" t="s">
        <v>210</v>
      </c>
      <c r="D259" s="8" t="s">
        <v>89</v>
      </c>
      <c r="E259" s="8"/>
      <c r="F259" s="8" t="n">
        <v>315</v>
      </c>
      <c r="G259" s="8" t="n">
        <v>306</v>
      </c>
      <c r="H259" s="8" t="n">
        <v>459</v>
      </c>
      <c r="I259" s="8" t="n">
        <v>59</v>
      </c>
      <c r="J259" s="8" t="n">
        <v>35</v>
      </c>
      <c r="K259" s="8" t="n">
        <v>70</v>
      </c>
      <c r="L259" s="8" t="n">
        <v>78</v>
      </c>
      <c r="M259" s="8" t="n">
        <v>29</v>
      </c>
      <c r="N259" s="8" t="n">
        <v>0</v>
      </c>
      <c r="O259" s="8" t="n">
        <v>20</v>
      </c>
      <c r="P259" s="8" t="n">
        <v>1371</v>
      </c>
      <c r="Q259" s="8" t="n">
        <v>9</v>
      </c>
      <c r="R259" s="8" t="n">
        <v>1380</v>
      </c>
      <c r="S259" s="8" t="n">
        <v>1558</v>
      </c>
    </row>
    <row r="260" customFormat="false" ht="15" hidden="false" customHeight="false" outlineLevel="0" collapsed="false">
      <c r="A260" s="8" t="n">
        <v>2018</v>
      </c>
      <c r="B260" s="8" t="s">
        <v>140</v>
      </c>
      <c r="C260" s="8" t="s">
        <v>212</v>
      </c>
      <c r="D260" s="8" t="s">
        <v>222</v>
      </c>
      <c r="E260" s="8"/>
      <c r="F260" s="8" t="n">
        <v>355</v>
      </c>
      <c r="G260" s="8" t="n">
        <v>524</v>
      </c>
      <c r="H260" s="8" t="n">
        <v>343</v>
      </c>
      <c r="I260" s="8" t="n">
        <v>168</v>
      </c>
      <c r="J260" s="8" t="n">
        <v>32</v>
      </c>
      <c r="K260" s="8" t="n">
        <v>158</v>
      </c>
      <c r="L260" s="8" t="n">
        <v>119</v>
      </c>
      <c r="M260" s="8" t="n">
        <v>76</v>
      </c>
      <c r="N260" s="8" t="n">
        <v>0</v>
      </c>
      <c r="O260" s="8" t="n">
        <v>28</v>
      </c>
      <c r="P260" s="8" t="n">
        <v>1803</v>
      </c>
      <c r="Q260" s="8" t="n">
        <v>5</v>
      </c>
      <c r="R260" s="8" t="n">
        <v>1808</v>
      </c>
      <c r="S260" s="8" t="n">
        <v>1995</v>
      </c>
    </row>
    <row r="261" customFormat="false" ht="15" hidden="false" customHeight="false" outlineLevel="0" collapsed="false">
      <c r="A261" s="8" t="n">
        <v>2018</v>
      </c>
      <c r="B261" s="8" t="s">
        <v>140</v>
      </c>
      <c r="C261" s="8" t="s">
        <v>214</v>
      </c>
      <c r="D261" s="8" t="s">
        <v>91</v>
      </c>
      <c r="E261" s="8"/>
      <c r="F261" s="8" t="n">
        <v>244</v>
      </c>
      <c r="G261" s="8" t="n">
        <v>175</v>
      </c>
      <c r="H261" s="8" t="n">
        <v>319</v>
      </c>
      <c r="I261" s="8" t="n">
        <v>77</v>
      </c>
      <c r="J261" s="8" t="n">
        <v>42</v>
      </c>
      <c r="K261" s="8" t="n">
        <v>81</v>
      </c>
      <c r="L261" s="8" t="n">
        <v>69</v>
      </c>
      <c r="M261" s="8" t="n">
        <v>46</v>
      </c>
      <c r="N261" s="8" t="n">
        <v>0</v>
      </c>
      <c r="O261" s="8" t="n">
        <v>13</v>
      </c>
      <c r="P261" s="8" t="n">
        <v>1066</v>
      </c>
      <c r="Q261" s="8" t="n">
        <v>6</v>
      </c>
      <c r="R261" s="8" t="n">
        <v>1072</v>
      </c>
      <c r="S261" s="8" t="n">
        <v>1205</v>
      </c>
    </row>
    <row r="262" customFormat="false" ht="15" hidden="false" customHeight="false" outlineLevel="0" collapsed="false">
      <c r="A262" s="8" t="n">
        <v>2018</v>
      </c>
      <c r="B262" s="8" t="s">
        <v>140</v>
      </c>
      <c r="C262" s="8" t="s">
        <v>231</v>
      </c>
      <c r="D262" s="8" t="s">
        <v>14</v>
      </c>
      <c r="E262" s="8" t="s">
        <v>218</v>
      </c>
      <c r="F262" s="8" t="n">
        <v>136</v>
      </c>
      <c r="G262" s="8" t="n">
        <v>116</v>
      </c>
      <c r="H262" s="8" t="n">
        <v>121</v>
      </c>
      <c r="I262" s="8" t="n">
        <v>45</v>
      </c>
      <c r="J262" s="8" t="n">
        <v>49</v>
      </c>
      <c r="K262" s="8" t="n">
        <v>31</v>
      </c>
      <c r="L262" s="8" t="n">
        <v>23</v>
      </c>
      <c r="M262" s="8" t="n">
        <v>43</v>
      </c>
      <c r="N262" s="8" t="n">
        <v>0</v>
      </c>
      <c r="O262" s="8" t="n">
        <v>11</v>
      </c>
      <c r="P262" s="8" t="n">
        <v>575</v>
      </c>
      <c r="Q262" s="8" t="n">
        <v>5</v>
      </c>
      <c r="R262" s="8" t="n">
        <v>580</v>
      </c>
      <c r="S262" s="8" t="n">
        <v>0</v>
      </c>
    </row>
    <row r="263" customFormat="false" ht="15" hidden="false" customHeight="false" outlineLevel="0" collapsed="false">
      <c r="A263" s="8" t="n">
        <v>2018</v>
      </c>
      <c r="B263" s="8" t="s">
        <v>139</v>
      </c>
      <c r="C263" s="8" t="s">
        <v>172</v>
      </c>
      <c r="D263" s="8" t="s">
        <v>45</v>
      </c>
      <c r="E263" s="8"/>
      <c r="F263" s="8" t="n">
        <v>435</v>
      </c>
      <c r="G263" s="8" t="n">
        <v>227</v>
      </c>
      <c r="H263" s="8" t="n">
        <v>323</v>
      </c>
      <c r="I263" s="8" t="n">
        <v>214</v>
      </c>
      <c r="J263" s="8" t="n">
        <v>82</v>
      </c>
      <c r="K263" s="8" t="n">
        <v>42</v>
      </c>
      <c r="L263" s="8" t="n">
        <v>64</v>
      </c>
      <c r="M263" s="8" t="n">
        <v>39</v>
      </c>
      <c r="N263" s="8" t="n">
        <v>0</v>
      </c>
      <c r="O263" s="8" t="n">
        <v>14</v>
      </c>
      <c r="P263" s="8" t="n">
        <v>1440</v>
      </c>
      <c r="Q263" s="8" t="n">
        <v>29</v>
      </c>
      <c r="R263" s="8" t="n">
        <v>1469</v>
      </c>
      <c r="S263" s="8" t="n">
        <v>1789</v>
      </c>
    </row>
    <row r="264" customFormat="false" ht="15" hidden="false" customHeight="false" outlineLevel="0" collapsed="false">
      <c r="A264" s="8" t="n">
        <v>2018</v>
      </c>
      <c r="B264" s="8" t="s">
        <v>139</v>
      </c>
      <c r="C264" s="8" t="s">
        <v>174</v>
      </c>
      <c r="D264" s="8" t="s">
        <v>47</v>
      </c>
      <c r="E264" s="8"/>
      <c r="F264" s="8" t="n">
        <v>364</v>
      </c>
      <c r="G264" s="8" t="n">
        <v>165</v>
      </c>
      <c r="H264" s="8" t="n">
        <v>230</v>
      </c>
      <c r="I264" s="8" t="n">
        <v>141</v>
      </c>
      <c r="J264" s="8" t="n">
        <v>74</v>
      </c>
      <c r="K264" s="8" t="n">
        <v>34</v>
      </c>
      <c r="L264" s="8" t="n">
        <v>43</v>
      </c>
      <c r="M264" s="8" t="n">
        <v>40</v>
      </c>
      <c r="N264" s="8" t="n">
        <v>0</v>
      </c>
      <c r="O264" s="8" t="n">
        <v>23</v>
      </c>
      <c r="P264" s="8" t="n">
        <v>1114</v>
      </c>
      <c r="Q264" s="8" t="n">
        <v>15</v>
      </c>
      <c r="R264" s="8" t="n">
        <v>1133</v>
      </c>
      <c r="S264" s="8" t="n">
        <v>1506</v>
      </c>
    </row>
    <row r="265" customFormat="false" ht="15" hidden="false" customHeight="false" outlineLevel="0" collapsed="false">
      <c r="A265" s="8" t="n">
        <v>2018</v>
      </c>
      <c r="B265" s="8" t="s">
        <v>139</v>
      </c>
      <c r="C265" s="8" t="s">
        <v>176</v>
      </c>
      <c r="D265" s="8" t="s">
        <v>49</v>
      </c>
      <c r="E265" s="8"/>
      <c r="F265" s="8" t="n">
        <v>435</v>
      </c>
      <c r="G265" s="8" t="n">
        <v>153</v>
      </c>
      <c r="H265" s="8" t="n">
        <v>251</v>
      </c>
      <c r="I265" s="8" t="n">
        <v>110</v>
      </c>
      <c r="J265" s="8" t="n">
        <v>104</v>
      </c>
      <c r="K265" s="8" t="n">
        <v>51</v>
      </c>
      <c r="L265" s="8" t="n">
        <v>38</v>
      </c>
      <c r="M265" s="8" t="n">
        <v>53</v>
      </c>
      <c r="N265" s="8" t="n">
        <v>0</v>
      </c>
      <c r="O265" s="8" t="n">
        <v>33</v>
      </c>
      <c r="P265" s="8" t="n">
        <v>1228</v>
      </c>
      <c r="Q265" s="8" t="n">
        <v>21</v>
      </c>
      <c r="R265" s="8" t="n">
        <v>1250</v>
      </c>
      <c r="S265" s="8" t="n">
        <v>1813</v>
      </c>
    </row>
    <row r="266" customFormat="false" ht="15" hidden="false" customHeight="false" outlineLevel="0" collapsed="false">
      <c r="A266" s="8" t="n">
        <v>2018</v>
      </c>
      <c r="B266" s="8" t="s">
        <v>139</v>
      </c>
      <c r="C266" s="8" t="s">
        <v>178</v>
      </c>
      <c r="D266" s="8" t="s">
        <v>51</v>
      </c>
      <c r="E266" s="8"/>
      <c r="F266" s="8" t="n">
        <v>568</v>
      </c>
      <c r="G266" s="8" t="n">
        <v>89</v>
      </c>
      <c r="H266" s="8" t="n">
        <v>215</v>
      </c>
      <c r="I266" s="8" t="n">
        <v>83</v>
      </c>
      <c r="J266" s="8" t="n">
        <v>97</v>
      </c>
      <c r="K266" s="8" t="n">
        <v>21</v>
      </c>
      <c r="L266" s="8" t="n">
        <v>21</v>
      </c>
      <c r="M266" s="8" t="n">
        <v>50</v>
      </c>
      <c r="N266" s="8" t="n">
        <v>0</v>
      </c>
      <c r="O266" s="8" t="n">
        <v>18</v>
      </c>
      <c r="P266" s="8" t="n">
        <v>1162</v>
      </c>
      <c r="Q266" s="8" t="n">
        <v>17</v>
      </c>
      <c r="R266" s="8" t="n">
        <v>1183</v>
      </c>
      <c r="S266" s="8" t="n">
        <v>1759</v>
      </c>
    </row>
    <row r="267" customFormat="false" ht="15" hidden="false" customHeight="false" outlineLevel="0" collapsed="false">
      <c r="A267" s="8" t="n">
        <v>2018</v>
      </c>
      <c r="B267" s="8" t="s">
        <v>139</v>
      </c>
      <c r="C267" s="8" t="s">
        <v>180</v>
      </c>
      <c r="D267" s="8" t="s">
        <v>53</v>
      </c>
      <c r="E267" s="8"/>
      <c r="F267" s="8" t="n">
        <v>481</v>
      </c>
      <c r="G267" s="8" t="n">
        <v>102</v>
      </c>
      <c r="H267" s="8" t="n">
        <v>186</v>
      </c>
      <c r="I267" s="8" t="n">
        <v>54</v>
      </c>
      <c r="J267" s="8" t="n">
        <v>113</v>
      </c>
      <c r="K267" s="8" t="n">
        <v>21</v>
      </c>
      <c r="L267" s="8" t="n">
        <v>22</v>
      </c>
      <c r="M267" s="8" t="n">
        <v>32</v>
      </c>
      <c r="N267" s="8" t="n">
        <v>0</v>
      </c>
      <c r="O267" s="8" t="n">
        <v>12</v>
      </c>
      <c r="P267" s="8" t="n">
        <v>1023</v>
      </c>
      <c r="Q267" s="8" t="n">
        <v>15</v>
      </c>
      <c r="R267" s="8" t="n">
        <v>1038</v>
      </c>
      <c r="S267" s="8" t="n">
        <v>1718</v>
      </c>
    </row>
    <row r="268" customFormat="false" ht="15" hidden="false" customHeight="false" outlineLevel="0" collapsed="false">
      <c r="A268" s="8" t="n">
        <v>2018</v>
      </c>
      <c r="B268" s="8" t="s">
        <v>139</v>
      </c>
      <c r="C268" s="8" t="s">
        <v>182</v>
      </c>
      <c r="D268" s="8" t="s">
        <v>55</v>
      </c>
      <c r="E268" s="8"/>
      <c r="F268" s="8" t="n">
        <v>559</v>
      </c>
      <c r="G268" s="8" t="n">
        <v>100</v>
      </c>
      <c r="H268" s="8" t="n">
        <v>225</v>
      </c>
      <c r="I268" s="8" t="n">
        <v>83</v>
      </c>
      <c r="J268" s="8" t="n">
        <v>97</v>
      </c>
      <c r="K268" s="8" t="n">
        <v>29</v>
      </c>
      <c r="L268" s="8" t="n">
        <v>27</v>
      </c>
      <c r="M268" s="8" t="n">
        <v>30</v>
      </c>
      <c r="N268" s="8" t="n">
        <v>0</v>
      </c>
      <c r="O268" s="8" t="n">
        <v>15</v>
      </c>
      <c r="P268" s="8" t="n">
        <v>1165</v>
      </c>
      <c r="Q268" s="8" t="n">
        <v>15</v>
      </c>
      <c r="R268" s="8" t="n">
        <v>1183</v>
      </c>
      <c r="S268" s="8" t="n">
        <v>1761</v>
      </c>
    </row>
    <row r="269" customFormat="false" ht="15" hidden="false" customHeight="false" outlineLevel="0" collapsed="false">
      <c r="A269" s="8" t="n">
        <v>2018</v>
      </c>
      <c r="B269" s="8" t="s">
        <v>139</v>
      </c>
      <c r="C269" s="8" t="s">
        <v>184</v>
      </c>
      <c r="D269" s="8" t="s">
        <v>57</v>
      </c>
      <c r="E269" s="8"/>
      <c r="F269" s="8" t="n">
        <v>425</v>
      </c>
      <c r="G269" s="8" t="n">
        <v>138</v>
      </c>
      <c r="H269" s="8" t="n">
        <v>254</v>
      </c>
      <c r="I269" s="8" t="n">
        <v>152</v>
      </c>
      <c r="J269" s="8" t="n">
        <v>95</v>
      </c>
      <c r="K269" s="8" t="n">
        <v>43</v>
      </c>
      <c r="L269" s="8" t="n">
        <v>42</v>
      </c>
      <c r="M269" s="8" t="n">
        <v>50</v>
      </c>
      <c r="N269" s="8" t="n">
        <v>0</v>
      </c>
      <c r="O269" s="8" t="n">
        <v>18</v>
      </c>
      <c r="P269" s="8" t="n">
        <v>1217</v>
      </c>
      <c r="Q269" s="8" t="n">
        <v>21</v>
      </c>
      <c r="R269" s="8" t="n">
        <v>1238</v>
      </c>
      <c r="S269" s="8" t="n">
        <v>1757</v>
      </c>
    </row>
    <row r="270" customFormat="false" ht="15" hidden="false" customHeight="false" outlineLevel="0" collapsed="false">
      <c r="A270" s="8" t="n">
        <v>2018</v>
      </c>
      <c r="B270" s="8" t="s">
        <v>139</v>
      </c>
      <c r="C270" s="8" t="s">
        <v>186</v>
      </c>
      <c r="D270" s="8" t="s">
        <v>59</v>
      </c>
      <c r="E270" s="8"/>
      <c r="F270" s="8" t="n">
        <v>490</v>
      </c>
      <c r="G270" s="8" t="n">
        <v>112</v>
      </c>
      <c r="H270" s="8" t="n">
        <v>265</v>
      </c>
      <c r="I270" s="8" t="n">
        <v>81</v>
      </c>
      <c r="J270" s="8" t="n">
        <v>91</v>
      </c>
      <c r="K270" s="8" t="n">
        <v>26</v>
      </c>
      <c r="L270" s="8" t="n">
        <v>32</v>
      </c>
      <c r="M270" s="8" t="n">
        <v>44</v>
      </c>
      <c r="N270" s="8" t="n">
        <v>0</v>
      </c>
      <c r="O270" s="8" t="n">
        <v>17</v>
      </c>
      <c r="P270" s="8" t="n">
        <v>1158</v>
      </c>
      <c r="Q270" s="8" t="n">
        <v>16</v>
      </c>
      <c r="R270" s="8" t="n">
        <v>1176</v>
      </c>
      <c r="S270" s="8" t="n">
        <v>1686</v>
      </c>
    </row>
    <row r="271" customFormat="false" ht="15" hidden="false" customHeight="false" outlineLevel="0" collapsed="false">
      <c r="A271" s="8" t="n">
        <v>2018</v>
      </c>
      <c r="B271" s="8" t="s">
        <v>139</v>
      </c>
      <c r="C271" s="8" t="s">
        <v>188</v>
      </c>
      <c r="D271" s="8" t="s">
        <v>61</v>
      </c>
      <c r="E271" s="8"/>
      <c r="F271" s="8" t="n">
        <v>383</v>
      </c>
      <c r="G271" s="8" t="n">
        <v>139</v>
      </c>
      <c r="H271" s="8" t="n">
        <v>291</v>
      </c>
      <c r="I271" s="8" t="n">
        <v>112</v>
      </c>
      <c r="J271" s="8" t="n">
        <v>62</v>
      </c>
      <c r="K271" s="8" t="n">
        <v>31</v>
      </c>
      <c r="L271" s="8" t="n">
        <v>45</v>
      </c>
      <c r="M271" s="8" t="n">
        <v>29</v>
      </c>
      <c r="N271" s="8" t="n">
        <v>0</v>
      </c>
      <c r="O271" s="8" t="n">
        <v>16</v>
      </c>
      <c r="P271" s="8" t="n">
        <v>1108</v>
      </c>
      <c r="Q271" s="8" t="n">
        <v>20</v>
      </c>
      <c r="R271" s="8" t="n">
        <v>1128</v>
      </c>
      <c r="S271" s="8" t="n">
        <v>1487</v>
      </c>
    </row>
    <row r="272" customFormat="false" ht="15" hidden="false" customHeight="false" outlineLevel="0" collapsed="false">
      <c r="A272" s="8" t="n">
        <v>2018</v>
      </c>
      <c r="B272" s="8" t="s">
        <v>139</v>
      </c>
      <c r="C272" s="8" t="s">
        <v>190</v>
      </c>
      <c r="D272" s="8" t="s">
        <v>63</v>
      </c>
      <c r="E272" s="8"/>
      <c r="F272" s="8" t="n">
        <v>339</v>
      </c>
      <c r="G272" s="8" t="n">
        <v>67</v>
      </c>
      <c r="H272" s="8" t="n">
        <v>245</v>
      </c>
      <c r="I272" s="8" t="n">
        <v>57</v>
      </c>
      <c r="J272" s="8" t="n">
        <v>57</v>
      </c>
      <c r="K272" s="8" t="n">
        <v>10</v>
      </c>
      <c r="L272" s="8" t="n">
        <v>25</v>
      </c>
      <c r="M272" s="8" t="n">
        <v>22</v>
      </c>
      <c r="N272" s="8" t="n">
        <v>0</v>
      </c>
      <c r="O272" s="8" t="n">
        <v>14</v>
      </c>
      <c r="P272" s="8" t="n">
        <v>836</v>
      </c>
      <c r="Q272" s="8" t="n">
        <v>15</v>
      </c>
      <c r="R272" s="8" t="n">
        <v>851</v>
      </c>
      <c r="S272" s="8" t="n">
        <v>1069</v>
      </c>
    </row>
    <row r="273" customFormat="false" ht="15" hidden="false" customHeight="false" outlineLevel="0" collapsed="false">
      <c r="A273" s="8" t="n">
        <v>2018</v>
      </c>
      <c r="B273" s="8" t="s">
        <v>139</v>
      </c>
      <c r="C273" s="8" t="s">
        <v>192</v>
      </c>
      <c r="D273" s="8" t="s">
        <v>65</v>
      </c>
      <c r="E273" s="8"/>
      <c r="F273" s="8" t="n">
        <v>457</v>
      </c>
      <c r="G273" s="8" t="n">
        <v>105</v>
      </c>
      <c r="H273" s="8" t="n">
        <v>148</v>
      </c>
      <c r="I273" s="8" t="n">
        <v>134</v>
      </c>
      <c r="J273" s="8" t="n">
        <v>48</v>
      </c>
      <c r="K273" s="8" t="n">
        <v>23</v>
      </c>
      <c r="L273" s="8" t="n">
        <v>30</v>
      </c>
      <c r="M273" s="8" t="n">
        <v>20</v>
      </c>
      <c r="N273" s="8" t="n">
        <v>0</v>
      </c>
      <c r="O273" s="8" t="n">
        <v>9</v>
      </c>
      <c r="P273" s="8" t="n">
        <v>974</v>
      </c>
      <c r="Q273" s="8" t="n">
        <v>16</v>
      </c>
      <c r="R273" s="8" t="n">
        <v>990</v>
      </c>
      <c r="S273" s="8" t="n">
        <v>1158</v>
      </c>
    </row>
    <row r="274" customFormat="false" ht="15" hidden="false" customHeight="false" outlineLevel="0" collapsed="false">
      <c r="A274" s="8" t="n">
        <v>2018</v>
      </c>
      <c r="B274" s="8" t="s">
        <v>139</v>
      </c>
      <c r="C274" s="8" t="s">
        <v>194</v>
      </c>
      <c r="D274" s="8" t="s">
        <v>67</v>
      </c>
      <c r="E274" s="8"/>
      <c r="F274" s="8" t="n">
        <v>595</v>
      </c>
      <c r="G274" s="8" t="n">
        <v>26</v>
      </c>
      <c r="H274" s="8" t="n">
        <v>120</v>
      </c>
      <c r="I274" s="8" t="n">
        <v>29</v>
      </c>
      <c r="J274" s="8" t="n">
        <v>98</v>
      </c>
      <c r="K274" s="8" t="n">
        <v>18</v>
      </c>
      <c r="L274" s="8" t="n">
        <v>13</v>
      </c>
      <c r="M274" s="8" t="n">
        <v>17</v>
      </c>
      <c r="N274" s="8" t="n">
        <v>0</v>
      </c>
      <c r="O274" s="8" t="n">
        <v>7</v>
      </c>
      <c r="P274" s="8" t="n">
        <v>923</v>
      </c>
      <c r="Q274" s="8" t="n">
        <v>8</v>
      </c>
      <c r="R274" s="8" t="n">
        <v>933</v>
      </c>
      <c r="S274" s="8" t="n">
        <v>1558</v>
      </c>
    </row>
    <row r="275" customFormat="false" ht="15" hidden="false" customHeight="false" outlineLevel="0" collapsed="false">
      <c r="A275" s="8" t="n">
        <v>2018</v>
      </c>
      <c r="B275" s="8" t="s">
        <v>139</v>
      </c>
      <c r="C275" s="8" t="s">
        <v>196</v>
      </c>
      <c r="D275" s="8" t="s">
        <v>69</v>
      </c>
      <c r="E275" s="8"/>
      <c r="F275" s="8" t="n">
        <v>482</v>
      </c>
      <c r="G275" s="8" t="n">
        <v>79</v>
      </c>
      <c r="H275" s="8" t="n">
        <v>170</v>
      </c>
      <c r="I275" s="8" t="n">
        <v>59</v>
      </c>
      <c r="J275" s="8" t="n">
        <v>75</v>
      </c>
      <c r="K275" s="8" t="n">
        <v>18</v>
      </c>
      <c r="L275" s="8" t="n">
        <v>25</v>
      </c>
      <c r="M275" s="8" t="n">
        <v>31</v>
      </c>
      <c r="N275" s="8" t="n">
        <v>0</v>
      </c>
      <c r="O275" s="8" t="n">
        <v>10</v>
      </c>
      <c r="P275" s="8" t="n">
        <v>949</v>
      </c>
      <c r="Q275" s="8" t="n">
        <v>23</v>
      </c>
      <c r="R275" s="8" t="n">
        <v>972</v>
      </c>
      <c r="S275" s="8" t="n">
        <v>1414</v>
      </c>
    </row>
    <row r="276" customFormat="false" ht="15" hidden="false" customHeight="false" outlineLevel="0" collapsed="false">
      <c r="A276" s="8" t="n">
        <v>2018</v>
      </c>
      <c r="B276" s="8" t="s">
        <v>139</v>
      </c>
      <c r="C276" s="8" t="s">
        <v>198</v>
      </c>
      <c r="D276" s="8" t="s">
        <v>71</v>
      </c>
      <c r="E276" s="8"/>
      <c r="F276" s="8" t="n">
        <v>522</v>
      </c>
      <c r="G276" s="8" t="n">
        <v>260</v>
      </c>
      <c r="H276" s="8" t="n">
        <v>278</v>
      </c>
      <c r="I276" s="8" t="n">
        <v>238</v>
      </c>
      <c r="J276" s="8" t="n">
        <v>50</v>
      </c>
      <c r="K276" s="8" t="n">
        <v>38</v>
      </c>
      <c r="L276" s="8" t="n">
        <v>72</v>
      </c>
      <c r="M276" s="8" t="n">
        <v>29</v>
      </c>
      <c r="N276" s="8" t="n">
        <v>0</v>
      </c>
      <c r="O276" s="8" t="n">
        <v>8</v>
      </c>
      <c r="P276" s="8" t="n">
        <v>1495</v>
      </c>
      <c r="Q276" s="8" t="n">
        <v>18</v>
      </c>
      <c r="R276" s="8" t="n">
        <v>1513</v>
      </c>
      <c r="S276" s="8" t="n">
        <v>1642</v>
      </c>
    </row>
    <row r="277" customFormat="false" ht="15" hidden="false" customHeight="false" outlineLevel="0" collapsed="false">
      <c r="A277" s="8" t="n">
        <v>2018</v>
      </c>
      <c r="B277" s="8" t="s">
        <v>139</v>
      </c>
      <c r="C277" s="8" t="s">
        <v>200</v>
      </c>
      <c r="D277" s="8" t="s">
        <v>219</v>
      </c>
      <c r="E277" s="8"/>
      <c r="F277" s="8" t="n">
        <v>549</v>
      </c>
      <c r="G277" s="8" t="n">
        <v>170</v>
      </c>
      <c r="H277" s="8" t="n">
        <v>274</v>
      </c>
      <c r="I277" s="8" t="n">
        <v>140</v>
      </c>
      <c r="J277" s="8" t="n">
        <v>48</v>
      </c>
      <c r="K277" s="8" t="n">
        <v>42</v>
      </c>
      <c r="L277" s="8" t="n">
        <v>43</v>
      </c>
      <c r="M277" s="8" t="n">
        <v>29</v>
      </c>
      <c r="N277" s="8" t="n">
        <v>0</v>
      </c>
      <c r="O277" s="8" t="n">
        <v>10</v>
      </c>
      <c r="P277" s="8" t="n">
        <v>1305</v>
      </c>
      <c r="Q277" s="8" t="n">
        <v>21</v>
      </c>
      <c r="R277" s="8" t="n">
        <v>1327</v>
      </c>
      <c r="S277" s="8" t="n">
        <v>1522</v>
      </c>
    </row>
    <row r="278" customFormat="false" ht="15" hidden="false" customHeight="false" outlineLevel="0" collapsed="false">
      <c r="A278" s="8" t="n">
        <v>2018</v>
      </c>
      <c r="B278" s="8" t="s">
        <v>139</v>
      </c>
      <c r="C278" s="8" t="s">
        <v>202</v>
      </c>
      <c r="D278" s="8" t="s">
        <v>75</v>
      </c>
      <c r="E278" s="8"/>
      <c r="F278" s="8" t="n">
        <v>278</v>
      </c>
      <c r="G278" s="8" t="n">
        <v>429</v>
      </c>
      <c r="H278" s="8" t="n">
        <v>188</v>
      </c>
      <c r="I278" s="8" t="n">
        <v>320</v>
      </c>
      <c r="J278" s="8" t="n">
        <v>21</v>
      </c>
      <c r="K278" s="8" t="n">
        <v>45</v>
      </c>
      <c r="L278" s="8" t="n">
        <v>138</v>
      </c>
      <c r="M278" s="8" t="n">
        <v>36</v>
      </c>
      <c r="N278" s="8" t="n">
        <v>0</v>
      </c>
      <c r="O278" s="8" t="n">
        <v>9</v>
      </c>
      <c r="P278" s="8" t="n">
        <v>1464</v>
      </c>
      <c r="Q278" s="8" t="n">
        <v>24</v>
      </c>
      <c r="R278" s="8" t="n">
        <v>1488</v>
      </c>
      <c r="S278" s="8" t="n">
        <v>1608</v>
      </c>
    </row>
    <row r="279" customFormat="false" ht="15" hidden="false" customHeight="false" outlineLevel="0" collapsed="false">
      <c r="A279" s="8" t="n">
        <v>2018</v>
      </c>
      <c r="B279" s="8" t="s">
        <v>139</v>
      </c>
      <c r="C279" s="8" t="s">
        <v>204</v>
      </c>
      <c r="D279" s="8" t="s">
        <v>81</v>
      </c>
      <c r="E279" s="8"/>
      <c r="F279" s="8" t="n">
        <v>40</v>
      </c>
      <c r="G279" s="8" t="n">
        <v>49</v>
      </c>
      <c r="H279" s="8" t="n">
        <v>66</v>
      </c>
      <c r="I279" s="8" t="n">
        <v>31</v>
      </c>
      <c r="J279" s="8" t="n">
        <v>12</v>
      </c>
      <c r="K279" s="8" t="n">
        <v>60</v>
      </c>
      <c r="L279" s="8" t="n">
        <v>10</v>
      </c>
      <c r="M279" s="8" t="n">
        <v>9</v>
      </c>
      <c r="N279" s="8" t="n">
        <v>0</v>
      </c>
      <c r="O279" s="8" t="n">
        <v>6</v>
      </c>
      <c r="P279" s="8" t="n">
        <v>283</v>
      </c>
      <c r="Q279" s="8" t="n">
        <v>2</v>
      </c>
      <c r="R279" s="8" t="n">
        <v>285</v>
      </c>
      <c r="S279" s="8" t="n">
        <v>327</v>
      </c>
    </row>
    <row r="280" customFormat="false" ht="15" hidden="false" customHeight="false" outlineLevel="0" collapsed="false">
      <c r="A280" s="8" t="n">
        <v>2018</v>
      </c>
      <c r="B280" s="8" t="s">
        <v>139</v>
      </c>
      <c r="C280" s="8" t="s">
        <v>206</v>
      </c>
      <c r="D280" s="8" t="s">
        <v>83</v>
      </c>
      <c r="E280" s="8"/>
      <c r="F280" s="8" t="n">
        <v>212</v>
      </c>
      <c r="G280" s="8" t="n">
        <v>213</v>
      </c>
      <c r="H280" s="8" t="n">
        <v>317</v>
      </c>
      <c r="I280" s="8" t="n">
        <v>117</v>
      </c>
      <c r="J280" s="8" t="n">
        <v>29</v>
      </c>
      <c r="K280" s="8" t="n">
        <v>102</v>
      </c>
      <c r="L280" s="8" t="n">
        <v>62</v>
      </c>
      <c r="M280" s="8" t="n">
        <v>43</v>
      </c>
      <c r="N280" s="8" t="n">
        <v>0</v>
      </c>
      <c r="O280" s="8" t="n">
        <v>11</v>
      </c>
      <c r="P280" s="8" t="n">
        <v>1106</v>
      </c>
      <c r="Q280" s="8" t="n">
        <v>10</v>
      </c>
      <c r="R280" s="8" t="n">
        <v>1116</v>
      </c>
      <c r="S280" s="8" t="n">
        <v>1304</v>
      </c>
    </row>
    <row r="281" customFormat="false" ht="15" hidden="false" customHeight="false" outlineLevel="0" collapsed="false">
      <c r="A281" s="8" t="n">
        <v>2018</v>
      </c>
      <c r="B281" s="8" t="s">
        <v>139</v>
      </c>
      <c r="C281" s="8" t="s">
        <v>230</v>
      </c>
      <c r="D281" s="8" t="s">
        <v>85</v>
      </c>
      <c r="E281" s="8"/>
      <c r="F281" s="8" t="n">
        <v>322</v>
      </c>
      <c r="G281" s="8" t="n">
        <v>338</v>
      </c>
      <c r="H281" s="8" t="n">
        <v>367</v>
      </c>
      <c r="I281" s="8" t="n">
        <v>140</v>
      </c>
      <c r="J281" s="8" t="n">
        <v>36</v>
      </c>
      <c r="K281" s="8" t="n">
        <v>60</v>
      </c>
      <c r="L281" s="8" t="n">
        <v>69</v>
      </c>
      <c r="M281" s="8" t="n">
        <v>22</v>
      </c>
      <c r="N281" s="8" t="n">
        <v>0</v>
      </c>
      <c r="O281" s="8" t="n">
        <v>14</v>
      </c>
      <c r="P281" s="8" t="n">
        <v>1368</v>
      </c>
      <c r="Q281" s="8" t="n">
        <v>30</v>
      </c>
      <c r="R281" s="8" t="n">
        <v>1399</v>
      </c>
      <c r="S281" s="8" t="n">
        <v>1684</v>
      </c>
    </row>
    <row r="282" customFormat="false" ht="15" hidden="false" customHeight="false" outlineLevel="0" collapsed="false">
      <c r="A282" s="8" t="n">
        <v>2018</v>
      </c>
      <c r="B282" s="8" t="s">
        <v>139</v>
      </c>
      <c r="C282" s="8" t="s">
        <v>208</v>
      </c>
      <c r="D282" s="8" t="s">
        <v>87</v>
      </c>
      <c r="E282" s="8"/>
      <c r="F282" s="8" t="n">
        <v>274</v>
      </c>
      <c r="G282" s="8" t="n">
        <v>254</v>
      </c>
      <c r="H282" s="8" t="n">
        <v>291</v>
      </c>
      <c r="I282" s="8" t="n">
        <v>139</v>
      </c>
      <c r="J282" s="8" t="n">
        <v>17</v>
      </c>
      <c r="K282" s="8" t="n">
        <v>49</v>
      </c>
      <c r="L282" s="8" t="n">
        <v>56</v>
      </c>
      <c r="M282" s="8" t="n">
        <v>21</v>
      </c>
      <c r="N282" s="8" t="n">
        <v>0</v>
      </c>
      <c r="O282" s="8" t="n">
        <v>8</v>
      </c>
      <c r="P282" s="8" t="n">
        <v>1109</v>
      </c>
      <c r="Q282" s="8" t="n">
        <v>18</v>
      </c>
      <c r="R282" s="8" t="n">
        <v>1128</v>
      </c>
      <c r="S282" s="8" t="n">
        <v>1249</v>
      </c>
    </row>
    <row r="283" customFormat="false" ht="15" hidden="false" customHeight="false" outlineLevel="0" collapsed="false">
      <c r="A283" s="8" t="n">
        <v>2018</v>
      </c>
      <c r="B283" s="8" t="s">
        <v>139</v>
      </c>
      <c r="C283" s="8" t="s">
        <v>210</v>
      </c>
      <c r="D283" s="8" t="s">
        <v>89</v>
      </c>
      <c r="E283" s="8"/>
      <c r="F283" s="8" t="n">
        <v>347</v>
      </c>
      <c r="G283" s="8" t="n">
        <v>268</v>
      </c>
      <c r="H283" s="8" t="n">
        <v>404</v>
      </c>
      <c r="I283" s="8" t="n">
        <v>126</v>
      </c>
      <c r="J283" s="8" t="n">
        <v>39</v>
      </c>
      <c r="K283" s="8" t="n">
        <v>66</v>
      </c>
      <c r="L283" s="8" t="n">
        <v>66</v>
      </c>
      <c r="M283" s="8" t="n">
        <v>30</v>
      </c>
      <c r="N283" s="8" t="n">
        <v>0</v>
      </c>
      <c r="O283" s="8" t="n">
        <v>21</v>
      </c>
      <c r="P283" s="8" t="n">
        <v>1367</v>
      </c>
      <c r="Q283" s="8" t="n">
        <v>25</v>
      </c>
      <c r="R283" s="8" t="n">
        <v>1394</v>
      </c>
      <c r="S283" s="8" t="n">
        <v>1619</v>
      </c>
    </row>
    <row r="284" customFormat="false" ht="15" hidden="false" customHeight="false" outlineLevel="0" collapsed="false">
      <c r="A284" s="8" t="n">
        <v>2018</v>
      </c>
      <c r="B284" s="8" t="s">
        <v>139</v>
      </c>
      <c r="C284" s="8" t="s">
        <v>212</v>
      </c>
      <c r="D284" s="8" t="s">
        <v>222</v>
      </c>
      <c r="E284" s="8"/>
      <c r="F284" s="8" t="n">
        <v>379</v>
      </c>
      <c r="G284" s="8" t="n">
        <v>502</v>
      </c>
      <c r="H284" s="8" t="n">
        <v>267</v>
      </c>
      <c r="I284" s="8" t="n">
        <v>298</v>
      </c>
      <c r="J284" s="8" t="n">
        <v>34</v>
      </c>
      <c r="K284" s="8" t="n">
        <v>117</v>
      </c>
      <c r="L284" s="8" t="n">
        <v>117</v>
      </c>
      <c r="M284" s="8" t="n">
        <v>69</v>
      </c>
      <c r="N284" s="8" t="n">
        <v>0</v>
      </c>
      <c r="O284" s="8" t="n">
        <v>33</v>
      </c>
      <c r="P284" s="8" t="n">
        <v>1816</v>
      </c>
      <c r="Q284" s="8" t="n">
        <v>18</v>
      </c>
      <c r="R284" s="8" t="n">
        <v>1834</v>
      </c>
      <c r="S284" s="8" t="n">
        <v>2025</v>
      </c>
    </row>
    <row r="285" customFormat="false" ht="15" hidden="false" customHeight="false" outlineLevel="0" collapsed="false">
      <c r="A285" s="8" t="n">
        <v>2018</v>
      </c>
      <c r="B285" s="8" t="s">
        <v>139</v>
      </c>
      <c r="C285" s="8" t="s">
        <v>214</v>
      </c>
      <c r="D285" s="8" t="s">
        <v>91</v>
      </c>
      <c r="E285" s="8"/>
      <c r="F285" s="8" t="n">
        <v>272</v>
      </c>
      <c r="G285" s="8" t="n">
        <v>196</v>
      </c>
      <c r="H285" s="8" t="n">
        <v>261</v>
      </c>
      <c r="I285" s="8" t="n">
        <v>103</v>
      </c>
      <c r="J285" s="8" t="n">
        <v>51</v>
      </c>
      <c r="K285" s="8" t="n">
        <v>72</v>
      </c>
      <c r="L285" s="8" t="n">
        <v>75</v>
      </c>
      <c r="M285" s="8" t="n">
        <v>35</v>
      </c>
      <c r="N285" s="8" t="n">
        <v>0</v>
      </c>
      <c r="O285" s="8" t="n">
        <v>11</v>
      </c>
      <c r="P285" s="8" t="n">
        <v>1076</v>
      </c>
      <c r="Q285" s="8" t="n">
        <v>8</v>
      </c>
      <c r="R285" s="8" t="n">
        <v>1088</v>
      </c>
      <c r="S285" s="8" t="n">
        <v>1246</v>
      </c>
    </row>
    <row r="286" customFormat="false" ht="15" hidden="false" customHeight="false" outlineLevel="0" collapsed="false">
      <c r="A286" s="8" t="n">
        <v>2018</v>
      </c>
      <c r="B286" s="8" t="s">
        <v>139</v>
      </c>
      <c r="C286" s="8" t="s">
        <v>231</v>
      </c>
      <c r="D286" s="8" t="s">
        <v>14</v>
      </c>
      <c r="E286" s="8" t="s">
        <v>218</v>
      </c>
      <c r="F286" s="8" t="n">
        <v>124</v>
      </c>
      <c r="G286" s="8" t="n">
        <v>69</v>
      </c>
      <c r="H286" s="8" t="n">
        <v>63</v>
      </c>
      <c r="I286" s="8" t="n">
        <v>38</v>
      </c>
      <c r="J286" s="8" t="n">
        <v>42</v>
      </c>
      <c r="K286" s="8" t="n">
        <v>19</v>
      </c>
      <c r="L286" s="8" t="n">
        <v>16</v>
      </c>
      <c r="M286" s="8" t="n">
        <v>19</v>
      </c>
      <c r="N286" s="8" t="n">
        <v>0</v>
      </c>
      <c r="O286" s="8" t="n">
        <v>10</v>
      </c>
      <c r="P286" s="8" t="n">
        <v>400</v>
      </c>
      <c r="Q286" s="8" t="n">
        <v>9</v>
      </c>
      <c r="R286" s="8" t="n">
        <v>411</v>
      </c>
      <c r="S286" s="8" t="n">
        <v>0</v>
      </c>
    </row>
    <row r="287" customFormat="false" ht="15" hidden="false" customHeight="false" outlineLevel="0" collapsed="false">
      <c r="A287" s="8" t="n">
        <v>2022</v>
      </c>
      <c r="B287" s="8" t="s">
        <v>138</v>
      </c>
      <c r="C287" s="8" t="s">
        <v>172</v>
      </c>
      <c r="D287" s="8" t="s">
        <v>45</v>
      </c>
      <c r="E287" s="8"/>
      <c r="F287" s="8" t="n">
        <v>205</v>
      </c>
      <c r="G287" s="8" t="n">
        <v>74</v>
      </c>
      <c r="H287" s="8" t="n">
        <v>230</v>
      </c>
      <c r="I287" s="8" t="n">
        <v>563</v>
      </c>
      <c r="J287" s="8" t="n">
        <v>31</v>
      </c>
      <c r="K287" s="8" t="n">
        <v>12</v>
      </c>
      <c r="L287" s="8" t="n">
        <v>17</v>
      </c>
      <c r="M287" s="8" t="n">
        <v>33</v>
      </c>
      <c r="N287" s="8" t="n">
        <v>0</v>
      </c>
      <c r="O287" s="8" t="n">
        <v>16</v>
      </c>
      <c r="P287" s="8" t="n">
        <v>1181</v>
      </c>
      <c r="Q287" s="8" t="n">
        <v>12</v>
      </c>
      <c r="R287" s="8" t="n">
        <v>1196</v>
      </c>
      <c r="S287" s="8" t="n">
        <v>1488</v>
      </c>
    </row>
    <row r="288" customFormat="false" ht="15" hidden="false" customHeight="false" outlineLevel="0" collapsed="false">
      <c r="A288" s="8" t="n">
        <v>2022</v>
      </c>
      <c r="B288" s="8" t="s">
        <v>138</v>
      </c>
      <c r="C288" s="8" t="s">
        <v>174</v>
      </c>
      <c r="D288" s="8" t="s">
        <v>47</v>
      </c>
      <c r="E288" s="8"/>
      <c r="F288" s="8" t="n">
        <v>281</v>
      </c>
      <c r="G288" s="8" t="n">
        <v>62</v>
      </c>
      <c r="H288" s="8" t="n">
        <v>186</v>
      </c>
      <c r="I288" s="8" t="n">
        <v>379</v>
      </c>
      <c r="J288" s="8" t="n">
        <v>72</v>
      </c>
      <c r="K288" s="8" t="n">
        <v>7</v>
      </c>
      <c r="L288" s="8" t="n">
        <v>24</v>
      </c>
      <c r="M288" s="8" t="n">
        <v>42</v>
      </c>
      <c r="N288" s="8" t="n">
        <v>0</v>
      </c>
      <c r="O288" s="8" t="n">
        <v>30</v>
      </c>
      <c r="P288" s="8" t="n">
        <v>1083</v>
      </c>
      <c r="Q288" s="8" t="n">
        <v>14</v>
      </c>
      <c r="R288" s="8" t="n">
        <v>1099</v>
      </c>
      <c r="S288" s="8" t="n">
        <v>1547</v>
      </c>
    </row>
    <row r="289" customFormat="false" ht="15" hidden="false" customHeight="false" outlineLevel="0" collapsed="false">
      <c r="A289" s="8" t="n">
        <v>2022</v>
      </c>
      <c r="B289" s="8" t="s">
        <v>138</v>
      </c>
      <c r="C289" s="8" t="s">
        <v>176</v>
      </c>
      <c r="D289" s="8" t="s">
        <v>49</v>
      </c>
      <c r="E289" s="8"/>
      <c r="F289" s="8" t="n">
        <v>320</v>
      </c>
      <c r="G289" s="8" t="n">
        <v>49</v>
      </c>
      <c r="H289" s="8" t="n">
        <v>209</v>
      </c>
      <c r="I289" s="8" t="n">
        <v>292</v>
      </c>
      <c r="J289" s="8" t="n">
        <v>82</v>
      </c>
      <c r="K289" s="8" t="n">
        <v>18</v>
      </c>
      <c r="L289" s="8" t="n">
        <v>3</v>
      </c>
      <c r="M289" s="8" t="n">
        <v>42</v>
      </c>
      <c r="N289" s="8" t="n">
        <v>0</v>
      </c>
      <c r="O289" s="8" t="n">
        <v>47</v>
      </c>
      <c r="P289" s="8" t="n">
        <v>1062</v>
      </c>
      <c r="Q289" s="8" t="n">
        <v>13</v>
      </c>
      <c r="R289" s="8" t="n">
        <v>1078</v>
      </c>
      <c r="S289" s="8" t="n">
        <v>1700</v>
      </c>
    </row>
    <row r="290" customFormat="false" ht="15" hidden="false" customHeight="false" outlineLevel="0" collapsed="false">
      <c r="A290" s="8" t="n">
        <v>2022</v>
      </c>
      <c r="B290" s="8" t="s">
        <v>138</v>
      </c>
      <c r="C290" s="8" t="s">
        <v>178</v>
      </c>
      <c r="D290" s="8" t="s">
        <v>51</v>
      </c>
      <c r="E290" s="8"/>
      <c r="F290" s="8" t="n">
        <v>215</v>
      </c>
      <c r="G290" s="8" t="n">
        <v>75</v>
      </c>
      <c r="H290" s="8" t="n">
        <v>174</v>
      </c>
      <c r="I290" s="8" t="n">
        <v>278</v>
      </c>
      <c r="J290" s="8" t="n">
        <v>68</v>
      </c>
      <c r="K290" s="8" t="n">
        <v>15</v>
      </c>
      <c r="L290" s="8" t="n">
        <v>9</v>
      </c>
      <c r="M290" s="8" t="n">
        <v>32</v>
      </c>
      <c r="N290" s="8" t="n">
        <v>0</v>
      </c>
      <c r="O290" s="8" t="n">
        <v>40</v>
      </c>
      <c r="P290" s="8" t="n">
        <v>906</v>
      </c>
      <c r="Q290" s="8" t="n">
        <v>12</v>
      </c>
      <c r="R290" s="8" t="n">
        <v>919</v>
      </c>
      <c r="S290" s="8" t="n">
        <v>1468</v>
      </c>
    </row>
    <row r="291" customFormat="false" ht="15" hidden="false" customHeight="false" outlineLevel="0" collapsed="false">
      <c r="A291" s="8" t="n">
        <v>2022</v>
      </c>
      <c r="B291" s="8" t="s">
        <v>138</v>
      </c>
      <c r="C291" s="8" t="s">
        <v>180</v>
      </c>
      <c r="D291" s="8" t="s">
        <v>53</v>
      </c>
      <c r="E291" s="8"/>
      <c r="F291" s="8" t="n">
        <v>278</v>
      </c>
      <c r="G291" s="8" t="n">
        <v>52</v>
      </c>
      <c r="H291" s="8" t="n">
        <v>170</v>
      </c>
      <c r="I291" s="8" t="n">
        <v>147</v>
      </c>
      <c r="J291" s="8" t="n">
        <v>83</v>
      </c>
      <c r="K291" s="8" t="n">
        <v>9</v>
      </c>
      <c r="L291" s="8" t="n">
        <v>3</v>
      </c>
      <c r="M291" s="8" t="n">
        <v>32</v>
      </c>
      <c r="N291" s="8" t="n">
        <v>0</v>
      </c>
      <c r="O291" s="8" t="n">
        <v>71</v>
      </c>
      <c r="P291" s="8" t="n">
        <v>845</v>
      </c>
      <c r="Q291" s="8" t="n">
        <v>8</v>
      </c>
      <c r="R291" s="8" t="n">
        <v>854</v>
      </c>
      <c r="S291" s="8" t="n">
        <v>1560</v>
      </c>
    </row>
    <row r="292" customFormat="false" ht="15" hidden="false" customHeight="false" outlineLevel="0" collapsed="false">
      <c r="A292" s="8" t="n">
        <v>2022</v>
      </c>
      <c r="B292" s="8" t="s">
        <v>138</v>
      </c>
      <c r="C292" s="8" t="s">
        <v>182</v>
      </c>
      <c r="D292" s="8" t="s">
        <v>55</v>
      </c>
      <c r="E292" s="8"/>
      <c r="F292" s="8" t="n">
        <v>337</v>
      </c>
      <c r="G292" s="8" t="n">
        <v>79</v>
      </c>
      <c r="H292" s="8" t="n">
        <v>161</v>
      </c>
      <c r="I292" s="8" t="n">
        <v>243</v>
      </c>
      <c r="J292" s="8" t="n">
        <v>64</v>
      </c>
      <c r="K292" s="8" t="n">
        <v>11</v>
      </c>
      <c r="L292" s="8" t="n">
        <v>5</v>
      </c>
      <c r="M292" s="8" t="n">
        <v>34</v>
      </c>
      <c r="N292" s="8" t="n">
        <v>0</v>
      </c>
      <c r="O292" s="8" t="n">
        <v>63</v>
      </c>
      <c r="P292" s="8" t="n">
        <v>997</v>
      </c>
      <c r="Q292" s="8" t="n">
        <v>6</v>
      </c>
      <c r="R292" s="8" t="n">
        <v>1003</v>
      </c>
      <c r="S292" s="8" t="n">
        <v>1806</v>
      </c>
    </row>
    <row r="293" customFormat="false" ht="15" hidden="false" customHeight="false" outlineLevel="0" collapsed="false">
      <c r="A293" s="8" t="n">
        <v>2022</v>
      </c>
      <c r="B293" s="8" t="s">
        <v>138</v>
      </c>
      <c r="C293" s="8" t="s">
        <v>184</v>
      </c>
      <c r="D293" s="8" t="s">
        <v>57</v>
      </c>
      <c r="E293" s="8"/>
      <c r="F293" s="8" t="n">
        <v>192</v>
      </c>
      <c r="G293" s="8" t="n">
        <v>32</v>
      </c>
      <c r="H293" s="8" t="n">
        <v>143</v>
      </c>
      <c r="I293" s="8" t="n">
        <v>370</v>
      </c>
      <c r="J293" s="8" t="n">
        <v>35</v>
      </c>
      <c r="K293" s="8" t="n">
        <v>15</v>
      </c>
      <c r="L293" s="8" t="n">
        <v>12</v>
      </c>
      <c r="M293" s="8" t="n">
        <v>40</v>
      </c>
      <c r="N293" s="8" t="n">
        <v>0</v>
      </c>
      <c r="O293" s="8" t="n">
        <v>10</v>
      </c>
      <c r="P293" s="8" t="n">
        <v>849</v>
      </c>
      <c r="Q293" s="8" t="n">
        <v>10</v>
      </c>
      <c r="R293" s="8" t="n">
        <v>860</v>
      </c>
      <c r="S293" s="8" t="n">
        <v>1133</v>
      </c>
    </row>
    <row r="294" customFormat="false" ht="15" hidden="false" customHeight="false" outlineLevel="0" collapsed="false">
      <c r="A294" s="8" t="n">
        <v>2022</v>
      </c>
      <c r="B294" s="8" t="s">
        <v>138</v>
      </c>
      <c r="C294" s="8" t="s">
        <v>186</v>
      </c>
      <c r="D294" s="8" t="s">
        <v>59</v>
      </c>
      <c r="E294" s="8"/>
      <c r="F294" s="8" t="n">
        <v>324</v>
      </c>
      <c r="G294" s="8" t="n">
        <v>50</v>
      </c>
      <c r="H294" s="8" t="n">
        <v>213</v>
      </c>
      <c r="I294" s="8" t="n">
        <v>279</v>
      </c>
      <c r="J294" s="8" t="n">
        <v>60</v>
      </c>
      <c r="K294" s="8" t="n">
        <v>12</v>
      </c>
      <c r="L294" s="8" t="n">
        <v>11</v>
      </c>
      <c r="M294" s="8" t="n">
        <v>52</v>
      </c>
      <c r="N294" s="8" t="n">
        <v>0</v>
      </c>
      <c r="O294" s="8" t="n">
        <v>35</v>
      </c>
      <c r="P294" s="8" t="n">
        <v>1036</v>
      </c>
      <c r="Q294" s="8" t="n">
        <v>7</v>
      </c>
      <c r="R294" s="8" t="n">
        <v>1043</v>
      </c>
      <c r="S294" s="8" t="n">
        <v>1669</v>
      </c>
    </row>
    <row r="295" customFormat="false" ht="15" hidden="false" customHeight="false" outlineLevel="0" collapsed="false">
      <c r="A295" s="8" t="n">
        <v>2022</v>
      </c>
      <c r="B295" s="8" t="s">
        <v>138</v>
      </c>
      <c r="C295" s="8" t="s">
        <v>188</v>
      </c>
      <c r="D295" s="8" t="s">
        <v>61</v>
      </c>
      <c r="E295" s="8"/>
      <c r="F295" s="8" t="n">
        <v>298</v>
      </c>
      <c r="G295" s="8" t="n">
        <v>62</v>
      </c>
      <c r="H295" s="8" t="n">
        <v>210</v>
      </c>
      <c r="I295" s="8" t="n">
        <v>400</v>
      </c>
      <c r="J295" s="8" t="n">
        <v>51</v>
      </c>
      <c r="K295" s="8" t="n">
        <v>13</v>
      </c>
      <c r="L295" s="8" t="n">
        <v>11</v>
      </c>
      <c r="M295" s="8" t="n">
        <v>32</v>
      </c>
      <c r="N295" s="8" t="n">
        <v>0</v>
      </c>
      <c r="O295" s="8" t="n">
        <v>21</v>
      </c>
      <c r="P295" s="8" t="n">
        <v>1098</v>
      </c>
      <c r="Q295" s="8" t="n">
        <v>17</v>
      </c>
      <c r="R295" s="8" t="n">
        <v>1119</v>
      </c>
      <c r="S295" s="8" t="n">
        <v>1526</v>
      </c>
    </row>
    <row r="296" customFormat="false" ht="15" hidden="false" customHeight="false" outlineLevel="0" collapsed="false">
      <c r="A296" s="8" t="n">
        <v>2022</v>
      </c>
      <c r="B296" s="8" t="s">
        <v>138</v>
      </c>
      <c r="C296" s="8" t="s">
        <v>190</v>
      </c>
      <c r="D296" s="8" t="s">
        <v>63</v>
      </c>
      <c r="E296" s="8"/>
      <c r="F296" s="8" t="n">
        <v>270</v>
      </c>
      <c r="G296" s="8" t="n">
        <v>25</v>
      </c>
      <c r="H296" s="8" t="n">
        <v>231</v>
      </c>
      <c r="I296" s="8" t="n">
        <v>187</v>
      </c>
      <c r="J296" s="8" t="n">
        <v>33</v>
      </c>
      <c r="K296" s="8" t="n">
        <v>4</v>
      </c>
      <c r="L296" s="8" t="n">
        <v>13</v>
      </c>
      <c r="M296" s="8" t="n">
        <v>14</v>
      </c>
      <c r="N296" s="8" t="n">
        <v>0</v>
      </c>
      <c r="O296" s="8" t="n">
        <v>17</v>
      </c>
      <c r="P296" s="8" t="n">
        <v>794</v>
      </c>
      <c r="Q296" s="8" t="n">
        <v>12</v>
      </c>
      <c r="R296" s="8" t="n">
        <v>808</v>
      </c>
      <c r="S296" s="8" t="n">
        <v>1056</v>
      </c>
    </row>
    <row r="297" customFormat="false" ht="15" hidden="false" customHeight="false" outlineLevel="0" collapsed="false">
      <c r="A297" s="8" t="n">
        <v>2022</v>
      </c>
      <c r="B297" s="8" t="s">
        <v>138</v>
      </c>
      <c r="C297" s="8" t="s">
        <v>192</v>
      </c>
      <c r="D297" s="8" t="s">
        <v>65</v>
      </c>
      <c r="E297" s="8"/>
      <c r="F297" s="8" t="n">
        <v>307</v>
      </c>
      <c r="G297" s="8" t="n">
        <v>36</v>
      </c>
      <c r="H297" s="8" t="n">
        <v>128</v>
      </c>
      <c r="I297" s="8" t="n">
        <v>327</v>
      </c>
      <c r="J297" s="8" t="n">
        <v>46</v>
      </c>
      <c r="K297" s="8" t="n">
        <v>9</v>
      </c>
      <c r="L297" s="8" t="n">
        <v>8</v>
      </c>
      <c r="M297" s="8" t="n">
        <v>25</v>
      </c>
      <c r="N297" s="8" t="n">
        <v>0</v>
      </c>
      <c r="O297" s="8" t="n">
        <v>26</v>
      </c>
      <c r="P297" s="8" t="n">
        <v>912</v>
      </c>
      <c r="Q297" s="8" t="n">
        <v>9</v>
      </c>
      <c r="R297" s="8" t="n">
        <v>923</v>
      </c>
      <c r="S297" s="8" t="n">
        <v>1144</v>
      </c>
    </row>
    <row r="298" customFormat="false" ht="15" hidden="false" customHeight="false" outlineLevel="0" collapsed="false">
      <c r="A298" s="8" t="n">
        <v>2022</v>
      </c>
      <c r="B298" s="8" t="s">
        <v>138</v>
      </c>
      <c r="C298" s="8" t="s">
        <v>194</v>
      </c>
      <c r="D298" s="8" t="s">
        <v>67</v>
      </c>
      <c r="E298" s="8"/>
      <c r="F298" s="8" t="n">
        <v>303</v>
      </c>
      <c r="G298" s="8" t="n">
        <v>27</v>
      </c>
      <c r="H298" s="8" t="n">
        <v>105</v>
      </c>
      <c r="I298" s="8" t="n">
        <v>71</v>
      </c>
      <c r="J298" s="8" t="n">
        <v>79</v>
      </c>
      <c r="K298" s="8" t="n">
        <v>17</v>
      </c>
      <c r="L298" s="8" t="n">
        <v>4</v>
      </c>
      <c r="M298" s="8" t="n">
        <v>25</v>
      </c>
      <c r="N298" s="8" t="n">
        <v>0</v>
      </c>
      <c r="O298" s="8" t="n">
        <v>174</v>
      </c>
      <c r="P298" s="8" t="n">
        <v>805</v>
      </c>
      <c r="Q298" s="8" t="n">
        <v>3</v>
      </c>
      <c r="R298" s="8" t="n">
        <v>813</v>
      </c>
      <c r="S298" s="8" t="n">
        <v>1486</v>
      </c>
    </row>
    <row r="299" customFormat="false" ht="15" hidden="false" customHeight="false" outlineLevel="0" collapsed="false">
      <c r="A299" s="8" t="n">
        <v>2022</v>
      </c>
      <c r="B299" s="8" t="s">
        <v>138</v>
      </c>
      <c r="C299" s="8" t="s">
        <v>196</v>
      </c>
      <c r="D299" s="8" t="s">
        <v>69</v>
      </c>
      <c r="E299" s="8"/>
      <c r="F299" s="8" t="n">
        <v>269</v>
      </c>
      <c r="G299" s="8" t="n">
        <v>28</v>
      </c>
      <c r="H299" s="8" t="n">
        <v>153</v>
      </c>
      <c r="I299" s="8" t="n">
        <v>264</v>
      </c>
      <c r="J299" s="8" t="n">
        <v>87</v>
      </c>
      <c r="K299" s="8" t="n">
        <v>15</v>
      </c>
      <c r="L299" s="8" t="n">
        <v>9</v>
      </c>
      <c r="M299" s="8" t="n">
        <v>44</v>
      </c>
      <c r="N299" s="8" t="n">
        <v>0</v>
      </c>
      <c r="O299" s="8" t="n">
        <v>69</v>
      </c>
      <c r="P299" s="8" t="n">
        <v>938</v>
      </c>
      <c r="Q299" s="8" t="n">
        <v>11</v>
      </c>
      <c r="R299" s="8" t="n">
        <v>950</v>
      </c>
      <c r="S299" s="8" t="n">
        <v>1562</v>
      </c>
    </row>
    <row r="300" customFormat="false" ht="15" hidden="false" customHeight="false" outlineLevel="0" collapsed="false">
      <c r="A300" s="8" t="n">
        <v>2022</v>
      </c>
      <c r="B300" s="8" t="s">
        <v>138</v>
      </c>
      <c r="C300" s="8" t="s">
        <v>198</v>
      </c>
      <c r="D300" s="8" t="s">
        <v>71</v>
      </c>
      <c r="E300" s="8"/>
      <c r="F300" s="8" t="n">
        <v>378</v>
      </c>
      <c r="G300" s="8" t="n">
        <v>43</v>
      </c>
      <c r="H300" s="8" t="n">
        <v>207</v>
      </c>
      <c r="I300" s="8" t="n">
        <v>449</v>
      </c>
      <c r="J300" s="8" t="n">
        <v>35</v>
      </c>
      <c r="K300" s="8" t="n">
        <v>14</v>
      </c>
      <c r="L300" s="8" t="n">
        <v>15</v>
      </c>
      <c r="M300" s="8" t="n">
        <v>24</v>
      </c>
      <c r="N300" s="8" t="n">
        <v>0</v>
      </c>
      <c r="O300" s="8" t="n">
        <v>21</v>
      </c>
      <c r="P300" s="8" t="n">
        <v>1186</v>
      </c>
      <c r="Q300" s="8" t="n">
        <v>18</v>
      </c>
      <c r="R300" s="8" t="n">
        <v>1205</v>
      </c>
      <c r="S300" s="8" t="n">
        <v>1460</v>
      </c>
    </row>
    <row r="301" customFormat="false" ht="15" hidden="false" customHeight="false" outlineLevel="0" collapsed="false">
      <c r="A301" s="8" t="n">
        <v>2022</v>
      </c>
      <c r="B301" s="8" t="s">
        <v>138</v>
      </c>
      <c r="C301" s="8" t="s">
        <v>200</v>
      </c>
      <c r="D301" s="8" t="s">
        <v>73</v>
      </c>
      <c r="E301" s="8"/>
      <c r="F301" s="8" t="n">
        <v>318</v>
      </c>
      <c r="G301" s="8" t="n">
        <v>54</v>
      </c>
      <c r="H301" s="8" t="n">
        <v>208</v>
      </c>
      <c r="I301" s="8" t="n">
        <v>781</v>
      </c>
      <c r="J301" s="8" t="n">
        <v>19</v>
      </c>
      <c r="K301" s="8" t="n">
        <v>12</v>
      </c>
      <c r="L301" s="8" t="n">
        <v>5</v>
      </c>
      <c r="M301" s="8" t="n">
        <v>27</v>
      </c>
      <c r="N301" s="8" t="n">
        <v>0</v>
      </c>
      <c r="O301" s="8" t="n">
        <v>6</v>
      </c>
      <c r="P301" s="8" t="n">
        <v>1430</v>
      </c>
      <c r="Q301" s="8" t="n">
        <v>7</v>
      </c>
      <c r="R301" s="8" t="n">
        <v>1440</v>
      </c>
      <c r="S301" s="8" t="n">
        <v>1596</v>
      </c>
    </row>
    <row r="302" customFormat="false" ht="15" hidden="false" customHeight="false" outlineLevel="0" collapsed="false">
      <c r="A302" s="8" t="n">
        <v>2022</v>
      </c>
      <c r="B302" s="8" t="s">
        <v>138</v>
      </c>
      <c r="C302" s="8" t="s">
        <v>202</v>
      </c>
      <c r="D302" s="8" t="s">
        <v>75</v>
      </c>
      <c r="E302" s="8"/>
      <c r="F302" s="8" t="n">
        <v>192</v>
      </c>
      <c r="G302" s="8" t="n">
        <v>89</v>
      </c>
      <c r="H302" s="8" t="n">
        <v>155</v>
      </c>
      <c r="I302" s="8" t="n">
        <v>1021</v>
      </c>
      <c r="J302" s="8" t="n">
        <v>16</v>
      </c>
      <c r="K302" s="8" t="n">
        <v>16</v>
      </c>
      <c r="L302" s="8" t="n">
        <v>5</v>
      </c>
      <c r="M302" s="8" t="n">
        <v>36</v>
      </c>
      <c r="N302" s="8" t="n">
        <v>0</v>
      </c>
      <c r="O302" s="8" t="n">
        <v>5</v>
      </c>
      <c r="P302" s="8" t="n">
        <v>1535</v>
      </c>
      <c r="Q302" s="8" t="n">
        <v>6</v>
      </c>
      <c r="R302" s="8" t="n">
        <v>1543</v>
      </c>
      <c r="S302" s="8" t="n">
        <v>1675</v>
      </c>
    </row>
    <row r="303" customFormat="false" ht="15" hidden="false" customHeight="false" outlineLevel="0" collapsed="false">
      <c r="A303" s="8" t="n">
        <v>2022</v>
      </c>
      <c r="B303" s="8" t="s">
        <v>138</v>
      </c>
      <c r="C303" s="8" t="s">
        <v>232</v>
      </c>
      <c r="D303" s="8" t="s">
        <v>77</v>
      </c>
      <c r="E303" s="8"/>
      <c r="F303" s="8" t="n">
        <v>67</v>
      </c>
      <c r="G303" s="8" t="n">
        <v>39</v>
      </c>
      <c r="H303" s="8" t="n">
        <v>54</v>
      </c>
      <c r="I303" s="8" t="n">
        <v>480</v>
      </c>
      <c r="J303" s="8" t="n">
        <v>5</v>
      </c>
      <c r="K303" s="8" t="n">
        <v>8</v>
      </c>
      <c r="L303" s="8" t="n">
        <v>6</v>
      </c>
      <c r="M303" s="8" t="n">
        <v>22</v>
      </c>
      <c r="N303" s="8" t="n">
        <v>0</v>
      </c>
      <c r="O303" s="8" t="n">
        <v>3</v>
      </c>
      <c r="P303" s="8" t="n">
        <v>684</v>
      </c>
      <c r="Q303" s="8" t="n">
        <v>4</v>
      </c>
      <c r="R303" s="8" t="n">
        <v>690</v>
      </c>
      <c r="S303" s="8" t="n">
        <v>738</v>
      </c>
    </row>
    <row r="304" customFormat="false" ht="15" hidden="false" customHeight="false" outlineLevel="0" collapsed="false">
      <c r="A304" s="8" t="n">
        <v>2022</v>
      </c>
      <c r="B304" s="8" t="s">
        <v>138</v>
      </c>
      <c r="C304" s="8" t="s">
        <v>233</v>
      </c>
      <c r="D304" s="8" t="s">
        <v>79</v>
      </c>
      <c r="E304" s="8"/>
      <c r="F304" s="8" t="n">
        <v>261</v>
      </c>
      <c r="G304" s="8" t="n">
        <v>51</v>
      </c>
      <c r="H304" s="8" t="n">
        <v>171</v>
      </c>
      <c r="I304" s="8" t="n">
        <v>188</v>
      </c>
      <c r="J304" s="8" t="n">
        <v>81</v>
      </c>
      <c r="K304" s="8" t="n">
        <v>17</v>
      </c>
      <c r="L304" s="8" t="n">
        <v>11</v>
      </c>
      <c r="M304" s="8" t="n">
        <v>37</v>
      </c>
      <c r="N304" s="8" t="n">
        <v>0</v>
      </c>
      <c r="O304" s="8" t="n">
        <v>74</v>
      </c>
      <c r="P304" s="8" t="n">
        <v>891</v>
      </c>
      <c r="Q304" s="8" t="n">
        <v>12</v>
      </c>
      <c r="R304" s="8" t="n">
        <v>908</v>
      </c>
      <c r="S304" s="8" t="n">
        <v>1640</v>
      </c>
    </row>
    <row r="305" customFormat="false" ht="15" hidden="false" customHeight="false" outlineLevel="0" collapsed="false">
      <c r="A305" s="8" t="n">
        <v>2022</v>
      </c>
      <c r="B305" s="8" t="s">
        <v>138</v>
      </c>
      <c r="C305" s="8" t="s">
        <v>204</v>
      </c>
      <c r="D305" s="8" t="s">
        <v>81</v>
      </c>
      <c r="E305" s="8"/>
      <c r="F305" s="8" t="n">
        <v>37</v>
      </c>
      <c r="G305" s="8" t="n">
        <v>36</v>
      </c>
      <c r="H305" s="8" t="n">
        <v>64</v>
      </c>
      <c r="I305" s="8" t="n">
        <v>99</v>
      </c>
      <c r="J305" s="8" t="n">
        <v>16</v>
      </c>
      <c r="K305" s="8" t="n">
        <v>30</v>
      </c>
      <c r="L305" s="8" t="n">
        <v>3</v>
      </c>
      <c r="M305" s="8" t="n">
        <v>15</v>
      </c>
      <c r="N305" s="8" t="n">
        <v>0</v>
      </c>
      <c r="O305" s="8" t="n">
        <v>2</v>
      </c>
      <c r="P305" s="8" t="n">
        <v>302</v>
      </c>
      <c r="Q305" s="8" t="n">
        <v>4</v>
      </c>
      <c r="R305" s="8" t="n">
        <v>306</v>
      </c>
      <c r="S305" s="8" t="n">
        <v>355</v>
      </c>
    </row>
    <row r="306" customFormat="false" ht="15" hidden="false" customHeight="false" outlineLevel="0" collapsed="false">
      <c r="A306" s="8" t="n">
        <v>2022</v>
      </c>
      <c r="B306" s="8" t="s">
        <v>138</v>
      </c>
      <c r="C306" s="8" t="s">
        <v>206</v>
      </c>
      <c r="D306" s="8" t="s">
        <v>83</v>
      </c>
      <c r="E306" s="8"/>
      <c r="F306" s="8" t="n">
        <v>142</v>
      </c>
      <c r="G306" s="8" t="n">
        <v>115</v>
      </c>
      <c r="H306" s="8" t="n">
        <v>317</v>
      </c>
      <c r="I306" s="8" t="n">
        <v>358</v>
      </c>
      <c r="J306" s="8" t="n">
        <v>31</v>
      </c>
      <c r="K306" s="8" t="n">
        <v>46</v>
      </c>
      <c r="L306" s="8" t="n">
        <v>18</v>
      </c>
      <c r="M306" s="8" t="n">
        <v>46</v>
      </c>
      <c r="N306" s="8" t="n">
        <v>0</v>
      </c>
      <c r="O306" s="8" t="n">
        <v>3</v>
      </c>
      <c r="P306" s="8" t="n">
        <v>1076</v>
      </c>
      <c r="Q306" s="8" t="n">
        <v>9</v>
      </c>
      <c r="R306" s="8" t="n">
        <v>1086</v>
      </c>
      <c r="S306" s="8" t="n">
        <v>1316</v>
      </c>
    </row>
    <row r="307" customFormat="false" ht="15" hidden="false" customHeight="false" outlineLevel="0" collapsed="false">
      <c r="A307" s="8" t="n">
        <v>2022</v>
      </c>
      <c r="B307" s="8" t="s">
        <v>138</v>
      </c>
      <c r="C307" s="8" t="s">
        <v>230</v>
      </c>
      <c r="D307" s="8" t="s">
        <v>85</v>
      </c>
      <c r="E307" s="8"/>
      <c r="F307" s="8" t="n">
        <v>203</v>
      </c>
      <c r="G307" s="8" t="n">
        <v>172</v>
      </c>
      <c r="H307" s="8" t="n">
        <v>345</v>
      </c>
      <c r="I307" s="8" t="n">
        <v>602</v>
      </c>
      <c r="J307" s="8" t="n">
        <v>24</v>
      </c>
      <c r="K307" s="8" t="n">
        <v>19</v>
      </c>
      <c r="L307" s="8" t="n">
        <v>18</v>
      </c>
      <c r="M307" s="8" t="n">
        <v>37</v>
      </c>
      <c r="N307" s="8" t="n">
        <v>0</v>
      </c>
      <c r="O307" s="8" t="n">
        <v>8</v>
      </c>
      <c r="P307" s="8" t="n">
        <v>1428</v>
      </c>
      <c r="Q307" s="8" t="n">
        <v>12</v>
      </c>
      <c r="R307" s="8" t="n">
        <v>1441</v>
      </c>
      <c r="S307" s="8" t="n">
        <v>1772</v>
      </c>
    </row>
    <row r="308" customFormat="false" ht="15" hidden="false" customHeight="false" outlineLevel="0" collapsed="false">
      <c r="A308" s="8" t="n">
        <v>2022</v>
      </c>
      <c r="B308" s="8" t="s">
        <v>138</v>
      </c>
      <c r="C308" s="8" t="s">
        <v>208</v>
      </c>
      <c r="D308" s="8" t="s">
        <v>87</v>
      </c>
      <c r="E308" s="8"/>
      <c r="F308" s="8" t="n">
        <v>248</v>
      </c>
      <c r="G308" s="8" t="n">
        <v>161</v>
      </c>
      <c r="H308" s="8" t="n">
        <v>269</v>
      </c>
      <c r="I308" s="8" t="n">
        <v>583</v>
      </c>
      <c r="J308" s="8" t="n">
        <v>20</v>
      </c>
      <c r="K308" s="8" t="n">
        <v>29</v>
      </c>
      <c r="L308" s="8" t="n">
        <v>14</v>
      </c>
      <c r="M308" s="8" t="n">
        <v>26</v>
      </c>
      <c r="N308" s="8" t="n">
        <v>0</v>
      </c>
      <c r="O308" s="8" t="n">
        <v>11</v>
      </c>
      <c r="P308" s="8" t="n">
        <v>1361</v>
      </c>
      <c r="Q308" s="8" t="n">
        <v>11</v>
      </c>
      <c r="R308" s="8" t="n">
        <v>1373</v>
      </c>
      <c r="S308" s="8" t="n">
        <v>1580</v>
      </c>
    </row>
    <row r="309" customFormat="false" ht="15" hidden="false" customHeight="false" outlineLevel="0" collapsed="false">
      <c r="A309" s="8" t="n">
        <v>2022</v>
      </c>
      <c r="B309" s="8" t="s">
        <v>138</v>
      </c>
      <c r="C309" s="8" t="s">
        <v>210</v>
      </c>
      <c r="D309" s="8" t="s">
        <v>89</v>
      </c>
      <c r="E309" s="8"/>
      <c r="F309" s="8" t="n">
        <v>235</v>
      </c>
      <c r="G309" s="8" t="n">
        <v>169</v>
      </c>
      <c r="H309" s="8" t="n">
        <v>363</v>
      </c>
      <c r="I309" s="8" t="n">
        <v>520</v>
      </c>
      <c r="J309" s="8" t="n">
        <v>32</v>
      </c>
      <c r="K309" s="8" t="n">
        <v>31</v>
      </c>
      <c r="L309" s="8" t="n">
        <v>22</v>
      </c>
      <c r="M309" s="8" t="n">
        <v>41</v>
      </c>
      <c r="N309" s="8" t="n">
        <v>0</v>
      </c>
      <c r="O309" s="8" t="n">
        <v>12</v>
      </c>
      <c r="P309" s="8" t="n">
        <v>1425</v>
      </c>
      <c r="Q309" s="8" t="n">
        <v>13</v>
      </c>
      <c r="R309" s="8" t="n">
        <v>1438</v>
      </c>
      <c r="S309" s="8" t="n">
        <v>1716</v>
      </c>
    </row>
    <row r="310" customFormat="false" ht="15" hidden="false" customHeight="false" outlineLevel="0" collapsed="false">
      <c r="A310" s="8" t="n">
        <v>2022</v>
      </c>
      <c r="B310" s="8" t="s">
        <v>138</v>
      </c>
      <c r="C310" s="8" t="s">
        <v>214</v>
      </c>
      <c r="D310" s="8" t="s">
        <v>91</v>
      </c>
      <c r="E310" s="8"/>
      <c r="F310" s="8" t="n">
        <v>161</v>
      </c>
      <c r="G310" s="8" t="n">
        <v>59</v>
      </c>
      <c r="H310" s="8" t="n">
        <v>204</v>
      </c>
      <c r="I310" s="8" t="n">
        <v>286</v>
      </c>
      <c r="J310" s="8" t="n">
        <v>20</v>
      </c>
      <c r="K310" s="8" t="n">
        <v>26</v>
      </c>
      <c r="L310" s="8" t="n">
        <v>15</v>
      </c>
      <c r="M310" s="8" t="n">
        <v>24</v>
      </c>
      <c r="N310" s="8" t="n">
        <v>0</v>
      </c>
      <c r="O310" s="8" t="n">
        <v>7</v>
      </c>
      <c r="P310" s="8" t="n">
        <v>802</v>
      </c>
      <c r="Q310" s="8" t="n">
        <v>9</v>
      </c>
      <c r="R310" s="8" t="n">
        <v>814</v>
      </c>
      <c r="S310" s="8" t="n">
        <v>958</v>
      </c>
    </row>
    <row r="311" customFormat="false" ht="15" hidden="false" customHeight="false" outlineLevel="0" collapsed="false">
      <c r="A311" s="8" t="n">
        <v>2022</v>
      </c>
      <c r="B311" s="8" t="s">
        <v>138</v>
      </c>
      <c r="C311" s="8" t="s">
        <v>234</v>
      </c>
      <c r="D311" s="8" t="s">
        <v>93</v>
      </c>
      <c r="E311" s="8"/>
      <c r="F311" s="8" t="n">
        <v>163</v>
      </c>
      <c r="G311" s="8" t="n">
        <v>134</v>
      </c>
      <c r="H311" s="8" t="n">
        <v>144</v>
      </c>
      <c r="I311" s="8" t="n">
        <v>487</v>
      </c>
      <c r="J311" s="8" t="n">
        <v>23</v>
      </c>
      <c r="K311" s="8" t="n">
        <v>30</v>
      </c>
      <c r="L311" s="8" t="n">
        <v>28</v>
      </c>
      <c r="M311" s="8" t="n">
        <v>36</v>
      </c>
      <c r="N311" s="8" t="n">
        <v>0</v>
      </c>
      <c r="O311" s="8" t="n">
        <v>15</v>
      </c>
      <c r="P311" s="8" t="n">
        <v>1060</v>
      </c>
      <c r="Q311" s="8" t="n">
        <v>7</v>
      </c>
      <c r="R311" s="8" t="n">
        <v>1067</v>
      </c>
      <c r="S311" s="8" t="n">
        <v>1191</v>
      </c>
    </row>
    <row r="312" customFormat="false" ht="15" hidden="false" customHeight="false" outlineLevel="0" collapsed="false">
      <c r="A312" s="8" t="n">
        <v>2022</v>
      </c>
      <c r="B312" s="8" t="s">
        <v>138</v>
      </c>
      <c r="C312" s="8" t="s">
        <v>235</v>
      </c>
      <c r="D312" s="8" t="s">
        <v>95</v>
      </c>
      <c r="E312" s="8"/>
      <c r="F312" s="8" t="n">
        <v>133</v>
      </c>
      <c r="G312" s="8" t="n">
        <v>81</v>
      </c>
      <c r="H312" s="8" t="n">
        <v>119</v>
      </c>
      <c r="I312" s="8" t="n">
        <v>445</v>
      </c>
      <c r="J312" s="8" t="n">
        <v>18</v>
      </c>
      <c r="K312" s="8" t="n">
        <v>22</v>
      </c>
      <c r="L312" s="8" t="n">
        <v>27</v>
      </c>
      <c r="M312" s="8" t="n">
        <v>31</v>
      </c>
      <c r="N312" s="8" t="n">
        <v>0</v>
      </c>
      <c r="O312" s="8" t="n">
        <v>4</v>
      </c>
      <c r="P312" s="8" t="n">
        <v>880</v>
      </c>
      <c r="Q312" s="8" t="n">
        <v>11</v>
      </c>
      <c r="R312" s="8" t="n">
        <v>892</v>
      </c>
      <c r="S312" s="8" t="n">
        <v>1005</v>
      </c>
    </row>
    <row r="313" customFormat="false" ht="15" hidden="false" customHeight="false" outlineLevel="0" collapsed="false">
      <c r="A313" s="8" t="n">
        <v>2022</v>
      </c>
      <c r="B313" s="8" t="s">
        <v>138</v>
      </c>
      <c r="C313" s="8" t="s">
        <v>146</v>
      </c>
      <c r="D313" s="8" t="s">
        <v>147</v>
      </c>
      <c r="E313" s="8" t="s">
        <v>218</v>
      </c>
      <c r="F313" s="8" t="n">
        <v>128</v>
      </c>
      <c r="G313" s="8" t="n">
        <v>62</v>
      </c>
      <c r="H313" s="8" t="n">
        <v>95</v>
      </c>
      <c r="I313" s="8" t="n">
        <v>166</v>
      </c>
      <c r="J313" s="8" t="n">
        <v>45</v>
      </c>
      <c r="K313" s="8" t="n">
        <v>34</v>
      </c>
      <c r="L313" s="8" t="n">
        <v>13</v>
      </c>
      <c r="M313" s="8" t="n">
        <v>26</v>
      </c>
      <c r="N313" s="8" t="n">
        <v>0</v>
      </c>
      <c r="O313" s="8" t="n">
        <v>32</v>
      </c>
      <c r="P313" s="8" t="n">
        <v>601</v>
      </c>
      <c r="Q313" s="8" t="n">
        <v>10</v>
      </c>
      <c r="R313" s="8" t="n">
        <v>613</v>
      </c>
      <c r="S313" s="8" t="n">
        <v>0</v>
      </c>
    </row>
    <row r="314" customFormat="false" ht="15" hidden="false" customHeight="false" outlineLevel="0" collapsed="false">
      <c r="A314" s="8" t="n">
        <v>2022</v>
      </c>
      <c r="B314" s="8" t="s">
        <v>140</v>
      </c>
      <c r="C314" s="8" t="s">
        <v>172</v>
      </c>
      <c r="D314" s="8" t="s">
        <v>45</v>
      </c>
      <c r="E314" s="8"/>
      <c r="F314" s="8" t="n">
        <v>320</v>
      </c>
      <c r="G314" s="8" t="n">
        <v>193</v>
      </c>
      <c r="H314" s="8" t="n">
        <v>358</v>
      </c>
      <c r="I314" s="8" t="n">
        <v>107</v>
      </c>
      <c r="J314" s="8" t="n">
        <v>40</v>
      </c>
      <c r="K314" s="8" t="n">
        <v>48</v>
      </c>
      <c r="L314" s="8" t="n">
        <v>55</v>
      </c>
      <c r="M314" s="8" t="n">
        <v>26</v>
      </c>
      <c r="N314" s="8" t="n">
        <v>0</v>
      </c>
      <c r="O314" s="8" t="n">
        <v>20</v>
      </c>
      <c r="P314" s="8" t="n">
        <v>1167</v>
      </c>
      <c r="Q314" s="8" t="n">
        <v>13</v>
      </c>
      <c r="R314" s="8" t="n">
        <v>1182</v>
      </c>
      <c r="S314" s="8" t="n">
        <v>1435</v>
      </c>
    </row>
    <row r="315" customFormat="false" ht="15" hidden="false" customHeight="false" outlineLevel="0" collapsed="false">
      <c r="A315" s="8" t="n">
        <v>2022</v>
      </c>
      <c r="B315" s="8" t="s">
        <v>140</v>
      </c>
      <c r="C315" s="8" t="s">
        <v>174</v>
      </c>
      <c r="D315" s="8" t="s">
        <v>47</v>
      </c>
      <c r="E315" s="8"/>
      <c r="F315" s="8" t="n">
        <v>343</v>
      </c>
      <c r="G315" s="8" t="n">
        <v>150</v>
      </c>
      <c r="H315" s="8" t="n">
        <v>284</v>
      </c>
      <c r="I315" s="8" t="n">
        <v>73</v>
      </c>
      <c r="J315" s="8" t="n">
        <v>84</v>
      </c>
      <c r="K315" s="8" t="n">
        <v>36</v>
      </c>
      <c r="L315" s="8" t="n">
        <v>39</v>
      </c>
      <c r="M315" s="8" t="n">
        <v>34</v>
      </c>
      <c r="N315" s="8" t="n">
        <v>0</v>
      </c>
      <c r="O315" s="8" t="n">
        <v>30</v>
      </c>
      <c r="P315" s="8" t="n">
        <v>1073</v>
      </c>
      <c r="Q315" s="8" t="n">
        <v>16</v>
      </c>
      <c r="R315" s="8" t="n">
        <v>1091</v>
      </c>
      <c r="S315" s="8" t="n">
        <v>1487</v>
      </c>
    </row>
    <row r="316" customFormat="false" ht="15" hidden="false" customHeight="false" outlineLevel="0" collapsed="false">
      <c r="A316" s="8" t="n">
        <v>2022</v>
      </c>
      <c r="B316" s="8" t="s">
        <v>140</v>
      </c>
      <c r="C316" s="8" t="s">
        <v>176</v>
      </c>
      <c r="D316" s="8" t="s">
        <v>49</v>
      </c>
      <c r="E316" s="8"/>
      <c r="F316" s="8" t="n">
        <v>350</v>
      </c>
      <c r="G316" s="8" t="n">
        <v>120</v>
      </c>
      <c r="H316" s="8" t="n">
        <v>270</v>
      </c>
      <c r="I316" s="8" t="n">
        <v>48</v>
      </c>
      <c r="J316" s="8" t="n">
        <v>99</v>
      </c>
      <c r="K316" s="8" t="n">
        <v>30</v>
      </c>
      <c r="L316" s="8" t="n">
        <v>28</v>
      </c>
      <c r="M316" s="8" t="n">
        <v>37</v>
      </c>
      <c r="N316" s="8" t="n">
        <v>0</v>
      </c>
      <c r="O316" s="8" t="n">
        <v>40</v>
      </c>
      <c r="P316" s="8" t="n">
        <v>1022</v>
      </c>
      <c r="Q316" s="8" t="n">
        <v>11</v>
      </c>
      <c r="R316" s="8" t="n">
        <v>1037</v>
      </c>
      <c r="S316" s="8" t="n">
        <v>1554</v>
      </c>
    </row>
    <row r="317" customFormat="false" ht="15" hidden="false" customHeight="false" outlineLevel="0" collapsed="false">
      <c r="A317" s="8" t="n">
        <v>2022</v>
      </c>
      <c r="B317" s="8" t="s">
        <v>140</v>
      </c>
      <c r="C317" s="8" t="s">
        <v>178</v>
      </c>
      <c r="D317" s="8" t="s">
        <v>51</v>
      </c>
      <c r="E317" s="8"/>
      <c r="F317" s="8" t="n">
        <v>275</v>
      </c>
      <c r="G317" s="8" t="n">
        <v>117</v>
      </c>
      <c r="H317" s="8" t="n">
        <v>257</v>
      </c>
      <c r="I317" s="8" t="n">
        <v>36</v>
      </c>
      <c r="J317" s="8" t="n">
        <v>68</v>
      </c>
      <c r="K317" s="8" t="n">
        <v>28</v>
      </c>
      <c r="L317" s="8" t="n">
        <v>22</v>
      </c>
      <c r="M317" s="8" t="n">
        <v>33</v>
      </c>
      <c r="N317" s="8" t="n">
        <v>0</v>
      </c>
      <c r="O317" s="8" t="n">
        <v>39</v>
      </c>
      <c r="P317" s="8" t="n">
        <v>875</v>
      </c>
      <c r="Q317" s="8" t="n">
        <v>14</v>
      </c>
      <c r="R317" s="8" t="n">
        <v>891</v>
      </c>
      <c r="S317" s="8" t="n">
        <v>1334</v>
      </c>
    </row>
    <row r="318" customFormat="false" ht="15" hidden="false" customHeight="false" outlineLevel="0" collapsed="false">
      <c r="A318" s="8" t="n">
        <v>2022</v>
      </c>
      <c r="B318" s="8" t="s">
        <v>140</v>
      </c>
      <c r="C318" s="8" t="s">
        <v>180</v>
      </c>
      <c r="D318" s="8" t="s">
        <v>53</v>
      </c>
      <c r="E318" s="8"/>
      <c r="F318" s="8" t="n">
        <v>304</v>
      </c>
      <c r="G318" s="8" t="n">
        <v>74</v>
      </c>
      <c r="H318" s="8" t="n">
        <v>197</v>
      </c>
      <c r="I318" s="8" t="n">
        <v>32</v>
      </c>
      <c r="J318" s="8" t="n">
        <v>73</v>
      </c>
      <c r="K318" s="8" t="n">
        <v>9</v>
      </c>
      <c r="L318" s="8" t="n">
        <v>10</v>
      </c>
      <c r="M318" s="8" t="n">
        <v>21</v>
      </c>
      <c r="N318" s="8" t="n">
        <v>0</v>
      </c>
      <c r="O318" s="8" t="n">
        <v>62</v>
      </c>
      <c r="P318" s="8" t="n">
        <v>782</v>
      </c>
      <c r="Q318" s="8" t="n">
        <v>7</v>
      </c>
      <c r="R318" s="8" t="n">
        <v>790</v>
      </c>
      <c r="S318" s="8" t="n">
        <v>1306</v>
      </c>
    </row>
    <row r="319" customFormat="false" ht="15" hidden="false" customHeight="false" outlineLevel="0" collapsed="false">
      <c r="A319" s="8" t="n">
        <v>2022</v>
      </c>
      <c r="B319" s="8" t="s">
        <v>140</v>
      </c>
      <c r="C319" s="8" t="s">
        <v>182</v>
      </c>
      <c r="D319" s="8" t="s">
        <v>55</v>
      </c>
      <c r="E319" s="8"/>
      <c r="F319" s="8" t="n">
        <v>374</v>
      </c>
      <c r="G319" s="8" t="n">
        <v>136</v>
      </c>
      <c r="H319" s="8" t="n">
        <v>217</v>
      </c>
      <c r="I319" s="8" t="n">
        <v>29</v>
      </c>
      <c r="J319" s="8" t="n">
        <v>70</v>
      </c>
      <c r="K319" s="8" t="n">
        <v>16</v>
      </c>
      <c r="L319" s="8" t="n">
        <v>18</v>
      </c>
      <c r="M319" s="8" t="n">
        <v>26</v>
      </c>
      <c r="N319" s="8" t="n">
        <v>0</v>
      </c>
      <c r="O319" s="8" t="n">
        <v>55</v>
      </c>
      <c r="P319" s="8" t="n">
        <v>941</v>
      </c>
      <c r="Q319" s="8" t="n">
        <v>11</v>
      </c>
      <c r="R319" s="8" t="n">
        <v>953</v>
      </c>
      <c r="S319" s="8" t="n">
        <v>1543</v>
      </c>
    </row>
    <row r="320" customFormat="false" ht="15" hidden="false" customHeight="false" outlineLevel="0" collapsed="false">
      <c r="A320" s="8" t="n">
        <v>2022</v>
      </c>
      <c r="B320" s="8" t="s">
        <v>140</v>
      </c>
      <c r="C320" s="8" t="s">
        <v>184</v>
      </c>
      <c r="D320" s="8" t="s">
        <v>57</v>
      </c>
      <c r="E320" s="8"/>
      <c r="F320" s="8" t="n">
        <v>285</v>
      </c>
      <c r="G320" s="8" t="n">
        <v>114</v>
      </c>
      <c r="H320" s="8" t="n">
        <v>212</v>
      </c>
      <c r="I320" s="8" t="n">
        <v>71</v>
      </c>
      <c r="J320" s="8" t="n">
        <v>39</v>
      </c>
      <c r="K320" s="8" t="n">
        <v>39</v>
      </c>
      <c r="L320" s="8" t="n">
        <v>18</v>
      </c>
      <c r="M320" s="8" t="n">
        <v>33</v>
      </c>
      <c r="N320" s="8" t="n">
        <v>0</v>
      </c>
      <c r="O320" s="8" t="n">
        <v>13</v>
      </c>
      <c r="P320" s="8" t="n">
        <v>824</v>
      </c>
      <c r="Q320" s="8" t="n">
        <v>16</v>
      </c>
      <c r="R320" s="8" t="n">
        <v>840</v>
      </c>
      <c r="S320" s="8" t="n">
        <v>1086</v>
      </c>
    </row>
    <row r="321" customFormat="false" ht="15" hidden="false" customHeight="false" outlineLevel="0" collapsed="false">
      <c r="A321" s="8" t="n">
        <v>2022</v>
      </c>
      <c r="B321" s="8" t="s">
        <v>140</v>
      </c>
      <c r="C321" s="8" t="s">
        <v>186</v>
      </c>
      <c r="D321" s="8" t="s">
        <v>59</v>
      </c>
      <c r="E321" s="8"/>
      <c r="F321" s="8" t="n">
        <v>384</v>
      </c>
      <c r="G321" s="8" t="n">
        <v>99</v>
      </c>
      <c r="H321" s="8" t="n">
        <v>294</v>
      </c>
      <c r="I321" s="8" t="n">
        <v>41</v>
      </c>
      <c r="J321" s="8" t="n">
        <v>68</v>
      </c>
      <c r="K321" s="8" t="n">
        <v>25</v>
      </c>
      <c r="L321" s="8" t="n">
        <v>28</v>
      </c>
      <c r="M321" s="8" t="n">
        <v>32</v>
      </c>
      <c r="N321" s="8" t="n">
        <v>0</v>
      </c>
      <c r="O321" s="8" t="n">
        <v>40</v>
      </c>
      <c r="P321" s="8" t="n">
        <v>1011</v>
      </c>
      <c r="Q321" s="8" t="n">
        <v>9</v>
      </c>
      <c r="R321" s="8" t="n">
        <v>1021</v>
      </c>
      <c r="S321" s="8" t="n">
        <v>1554</v>
      </c>
    </row>
    <row r="322" customFormat="false" ht="15" hidden="false" customHeight="false" outlineLevel="0" collapsed="false">
      <c r="A322" s="8" t="n">
        <v>2022</v>
      </c>
      <c r="B322" s="8" t="s">
        <v>140</v>
      </c>
      <c r="C322" s="8" t="s">
        <v>188</v>
      </c>
      <c r="D322" s="8" t="s">
        <v>61</v>
      </c>
      <c r="E322" s="8"/>
      <c r="F322" s="8" t="n">
        <v>370</v>
      </c>
      <c r="G322" s="8" t="n">
        <v>134</v>
      </c>
      <c r="H322" s="8" t="n">
        <v>332</v>
      </c>
      <c r="I322" s="8" t="n">
        <v>57</v>
      </c>
      <c r="J322" s="8" t="n">
        <v>54</v>
      </c>
      <c r="K322" s="8" t="n">
        <v>40</v>
      </c>
      <c r="L322" s="8" t="n">
        <v>39</v>
      </c>
      <c r="M322" s="8" t="n">
        <v>38</v>
      </c>
      <c r="N322" s="8" t="n">
        <v>0</v>
      </c>
      <c r="O322" s="8" t="n">
        <v>20</v>
      </c>
      <c r="P322" s="8" t="n">
        <v>1084</v>
      </c>
      <c r="Q322" s="8" t="n">
        <v>19</v>
      </c>
      <c r="R322" s="8" t="n">
        <v>1104</v>
      </c>
      <c r="S322" s="8" t="n">
        <v>1429</v>
      </c>
    </row>
    <row r="323" customFormat="false" ht="15" hidden="false" customHeight="false" outlineLevel="0" collapsed="false">
      <c r="A323" s="8" t="n">
        <v>2022</v>
      </c>
      <c r="B323" s="8" t="s">
        <v>140</v>
      </c>
      <c r="C323" s="8" t="s">
        <v>190</v>
      </c>
      <c r="D323" s="8" t="s">
        <v>63</v>
      </c>
      <c r="E323" s="8"/>
      <c r="F323" s="8" t="n">
        <v>307</v>
      </c>
      <c r="G323" s="8" t="n">
        <v>75</v>
      </c>
      <c r="H323" s="8" t="n">
        <v>284</v>
      </c>
      <c r="I323" s="8" t="n">
        <v>23</v>
      </c>
      <c r="J323" s="8" t="n">
        <v>36</v>
      </c>
      <c r="K323" s="8" t="n">
        <v>7</v>
      </c>
      <c r="L323" s="8" t="n">
        <v>14</v>
      </c>
      <c r="M323" s="8" t="n">
        <v>13</v>
      </c>
      <c r="N323" s="8" t="n">
        <v>0</v>
      </c>
      <c r="O323" s="8" t="n">
        <v>19</v>
      </c>
      <c r="P323" s="8" t="n">
        <v>778</v>
      </c>
      <c r="Q323" s="8" t="n">
        <v>15</v>
      </c>
      <c r="R323" s="8" t="n">
        <v>794</v>
      </c>
      <c r="S323" s="8" t="n">
        <v>1009</v>
      </c>
    </row>
    <row r="324" customFormat="false" ht="15" hidden="false" customHeight="false" outlineLevel="0" collapsed="false">
      <c r="A324" s="8" t="n">
        <v>2022</v>
      </c>
      <c r="B324" s="8" t="s">
        <v>140</v>
      </c>
      <c r="C324" s="8" t="s">
        <v>192</v>
      </c>
      <c r="D324" s="8" t="s">
        <v>65</v>
      </c>
      <c r="E324" s="8"/>
      <c r="F324" s="8" t="n">
        <v>393</v>
      </c>
      <c r="G324" s="8" t="n">
        <v>101</v>
      </c>
      <c r="H324" s="8" t="n">
        <v>199</v>
      </c>
      <c r="I324" s="8" t="n">
        <v>53</v>
      </c>
      <c r="J324" s="8" t="n">
        <v>50</v>
      </c>
      <c r="K324" s="8" t="n">
        <v>25</v>
      </c>
      <c r="L324" s="8" t="n">
        <v>22</v>
      </c>
      <c r="M324" s="8" t="n">
        <v>25</v>
      </c>
      <c r="N324" s="8" t="n">
        <v>0</v>
      </c>
      <c r="O324" s="8" t="n">
        <v>22</v>
      </c>
      <c r="P324" s="8" t="n">
        <v>890</v>
      </c>
      <c r="Q324" s="8" t="n">
        <v>10</v>
      </c>
      <c r="R324" s="8" t="n">
        <v>901</v>
      </c>
      <c r="S324" s="8" t="n">
        <v>1117</v>
      </c>
    </row>
    <row r="325" customFormat="false" ht="15" hidden="false" customHeight="false" outlineLevel="0" collapsed="false">
      <c r="A325" s="8" t="n">
        <v>2022</v>
      </c>
      <c r="B325" s="8" t="s">
        <v>140</v>
      </c>
      <c r="C325" s="8" t="s">
        <v>194</v>
      </c>
      <c r="D325" s="8" t="s">
        <v>67</v>
      </c>
      <c r="E325" s="8"/>
      <c r="F325" s="8" t="n">
        <v>309</v>
      </c>
      <c r="G325" s="8" t="n">
        <v>36</v>
      </c>
      <c r="H325" s="8" t="n">
        <v>120</v>
      </c>
      <c r="I325" s="8" t="n">
        <v>3</v>
      </c>
      <c r="J325" s="8" t="n">
        <v>72</v>
      </c>
      <c r="K325" s="8" t="n">
        <v>20</v>
      </c>
      <c r="L325" s="8" t="n">
        <v>15</v>
      </c>
      <c r="M325" s="8" t="n">
        <v>19</v>
      </c>
      <c r="N325" s="8" t="n">
        <v>0</v>
      </c>
      <c r="O325" s="8" t="n">
        <v>137</v>
      </c>
      <c r="P325" s="8" t="n">
        <v>731</v>
      </c>
      <c r="Q325" s="8" t="n">
        <v>3</v>
      </c>
      <c r="R325" s="8" t="n">
        <v>737</v>
      </c>
      <c r="S325" s="8" t="n">
        <v>1282</v>
      </c>
    </row>
    <row r="326" customFormat="false" ht="15" hidden="false" customHeight="false" outlineLevel="0" collapsed="false">
      <c r="A326" s="8" t="n">
        <v>2022</v>
      </c>
      <c r="B326" s="8" t="s">
        <v>140</v>
      </c>
      <c r="C326" s="8" t="s">
        <v>196</v>
      </c>
      <c r="D326" s="8" t="s">
        <v>69</v>
      </c>
      <c r="E326" s="8"/>
      <c r="F326" s="8" t="n">
        <v>336</v>
      </c>
      <c r="G326" s="8" t="n">
        <v>83</v>
      </c>
      <c r="H326" s="8" t="n">
        <v>218</v>
      </c>
      <c r="I326" s="8" t="n">
        <v>30</v>
      </c>
      <c r="J326" s="8" t="n">
        <v>80</v>
      </c>
      <c r="K326" s="8" t="n">
        <v>25</v>
      </c>
      <c r="L326" s="8" t="n">
        <v>29</v>
      </c>
      <c r="M326" s="8" t="n">
        <v>40</v>
      </c>
      <c r="N326" s="8" t="n">
        <v>0</v>
      </c>
      <c r="O326" s="8" t="n">
        <v>65</v>
      </c>
      <c r="P326" s="8" t="n">
        <v>906</v>
      </c>
      <c r="Q326" s="8" t="n">
        <v>11</v>
      </c>
      <c r="R326" s="8" t="n">
        <v>919</v>
      </c>
      <c r="S326" s="8" t="n">
        <v>1357</v>
      </c>
    </row>
    <row r="327" customFormat="false" ht="15" hidden="false" customHeight="false" outlineLevel="0" collapsed="false">
      <c r="A327" s="8" t="n">
        <v>2022</v>
      </c>
      <c r="B327" s="8" t="s">
        <v>140</v>
      </c>
      <c r="C327" s="8" t="s">
        <v>198</v>
      </c>
      <c r="D327" s="8" t="s">
        <v>71</v>
      </c>
      <c r="E327" s="8"/>
      <c r="F327" s="8" t="n">
        <v>505</v>
      </c>
      <c r="G327" s="8" t="n">
        <v>125</v>
      </c>
      <c r="H327" s="8" t="n">
        <v>331</v>
      </c>
      <c r="I327" s="8" t="n">
        <v>64</v>
      </c>
      <c r="J327" s="8" t="n">
        <v>45</v>
      </c>
      <c r="K327" s="8" t="n">
        <v>24</v>
      </c>
      <c r="L327" s="8" t="n">
        <v>30</v>
      </c>
      <c r="M327" s="8" t="n">
        <v>19</v>
      </c>
      <c r="N327" s="8" t="n">
        <v>0</v>
      </c>
      <c r="O327" s="8" t="n">
        <v>21</v>
      </c>
      <c r="P327" s="8" t="n">
        <v>1164</v>
      </c>
      <c r="Q327" s="8" t="n">
        <v>25</v>
      </c>
      <c r="R327" s="8" t="n">
        <v>1190</v>
      </c>
      <c r="S327" s="8" t="n">
        <v>1431</v>
      </c>
    </row>
    <row r="328" customFormat="false" ht="15" hidden="false" customHeight="false" outlineLevel="0" collapsed="false">
      <c r="A328" s="8" t="n">
        <v>2022</v>
      </c>
      <c r="B328" s="8" t="s">
        <v>140</v>
      </c>
      <c r="C328" s="8" t="s">
        <v>200</v>
      </c>
      <c r="D328" s="8" t="s">
        <v>73</v>
      </c>
      <c r="E328" s="8"/>
      <c r="F328" s="8" t="n">
        <v>514</v>
      </c>
      <c r="G328" s="8" t="n">
        <v>265</v>
      </c>
      <c r="H328" s="8" t="n">
        <v>365</v>
      </c>
      <c r="I328" s="8" t="n">
        <v>124</v>
      </c>
      <c r="J328" s="8" t="n">
        <v>29</v>
      </c>
      <c r="K328" s="8" t="n">
        <v>48</v>
      </c>
      <c r="L328" s="8" t="n">
        <v>37</v>
      </c>
      <c r="M328" s="8" t="n">
        <v>21</v>
      </c>
      <c r="N328" s="8" t="n">
        <v>0</v>
      </c>
      <c r="O328" s="8" t="n">
        <v>5</v>
      </c>
      <c r="P328" s="8" t="n">
        <v>1408</v>
      </c>
      <c r="Q328" s="8" t="n">
        <v>14</v>
      </c>
      <c r="R328" s="8" t="n">
        <v>1427</v>
      </c>
      <c r="S328" s="8" t="n">
        <v>1596</v>
      </c>
    </row>
    <row r="329" customFormat="false" ht="15" hidden="false" customHeight="false" outlineLevel="0" collapsed="false">
      <c r="A329" s="8" t="n">
        <v>2022</v>
      </c>
      <c r="B329" s="8" t="s">
        <v>140</v>
      </c>
      <c r="C329" s="8" t="s">
        <v>202</v>
      </c>
      <c r="D329" s="8" t="s">
        <v>75</v>
      </c>
      <c r="E329" s="8"/>
      <c r="F329" s="8" t="n">
        <v>378</v>
      </c>
      <c r="G329" s="8" t="n">
        <v>453</v>
      </c>
      <c r="H329" s="8" t="n">
        <v>299</v>
      </c>
      <c r="I329" s="8" t="n">
        <v>183</v>
      </c>
      <c r="J329" s="8" t="n">
        <v>22</v>
      </c>
      <c r="K329" s="8" t="n">
        <v>61</v>
      </c>
      <c r="L329" s="8" t="n">
        <v>59</v>
      </c>
      <c r="M329" s="8" t="n">
        <v>56</v>
      </c>
      <c r="N329" s="8" t="n">
        <v>0</v>
      </c>
      <c r="O329" s="8" t="n">
        <v>9</v>
      </c>
      <c r="P329" s="8" t="n">
        <v>1520</v>
      </c>
      <c r="Q329" s="8" t="n">
        <v>14</v>
      </c>
      <c r="R329" s="8" t="n">
        <v>1537</v>
      </c>
      <c r="S329" s="8" t="n">
        <v>1698</v>
      </c>
    </row>
    <row r="330" customFormat="false" ht="15" hidden="false" customHeight="false" outlineLevel="0" collapsed="false">
      <c r="A330" s="8" t="n">
        <v>2022</v>
      </c>
      <c r="B330" s="8" t="s">
        <v>140</v>
      </c>
      <c r="C330" s="8" t="s">
        <v>232</v>
      </c>
      <c r="D330" s="8" t="s">
        <v>77</v>
      </c>
      <c r="E330" s="8"/>
      <c r="F330" s="8" t="n">
        <v>149</v>
      </c>
      <c r="G330" s="8" t="n">
        <v>233</v>
      </c>
      <c r="H330" s="8" t="n">
        <v>131</v>
      </c>
      <c r="I330" s="8" t="n">
        <v>81</v>
      </c>
      <c r="J330" s="8" t="n">
        <v>10</v>
      </c>
      <c r="K330" s="8" t="n">
        <v>27</v>
      </c>
      <c r="L330" s="8" t="n">
        <v>31</v>
      </c>
      <c r="M330" s="8" t="n">
        <v>13</v>
      </c>
      <c r="N330" s="8" t="n">
        <v>0</v>
      </c>
      <c r="O330" s="8" t="n">
        <v>3</v>
      </c>
      <c r="P330" s="8" t="n">
        <v>678</v>
      </c>
      <c r="Q330" s="8" t="n">
        <v>3</v>
      </c>
      <c r="R330" s="8" t="n">
        <v>683</v>
      </c>
      <c r="S330" s="8" t="n">
        <v>728</v>
      </c>
    </row>
    <row r="331" customFormat="false" ht="15" hidden="false" customHeight="false" outlineLevel="0" collapsed="false">
      <c r="A331" s="8" t="n">
        <v>2022</v>
      </c>
      <c r="B331" s="8" t="s">
        <v>140</v>
      </c>
      <c r="C331" s="8" t="s">
        <v>233</v>
      </c>
      <c r="D331" s="8" t="s">
        <v>79</v>
      </c>
      <c r="E331" s="8"/>
      <c r="F331" s="8" t="n">
        <v>298</v>
      </c>
      <c r="G331" s="8" t="n">
        <v>87</v>
      </c>
      <c r="H331" s="8" t="n">
        <v>213</v>
      </c>
      <c r="I331" s="8" t="n">
        <v>20</v>
      </c>
      <c r="J331" s="8" t="n">
        <v>81</v>
      </c>
      <c r="K331" s="8" t="n">
        <v>24</v>
      </c>
      <c r="L331" s="8" t="n">
        <v>22</v>
      </c>
      <c r="M331" s="8" t="n">
        <v>30</v>
      </c>
      <c r="N331" s="8" t="n">
        <v>0</v>
      </c>
      <c r="O331" s="8" t="n">
        <v>56</v>
      </c>
      <c r="P331" s="8" t="n">
        <v>831</v>
      </c>
      <c r="Q331" s="8" t="n">
        <v>10</v>
      </c>
      <c r="R331" s="8" t="n">
        <v>845</v>
      </c>
      <c r="S331" s="8" t="n">
        <v>1394</v>
      </c>
    </row>
    <row r="332" customFormat="false" ht="15" hidden="false" customHeight="false" outlineLevel="0" collapsed="false">
      <c r="A332" s="8" t="n">
        <v>2022</v>
      </c>
      <c r="B332" s="8" t="s">
        <v>140</v>
      </c>
      <c r="C332" s="8" t="s">
        <v>204</v>
      </c>
      <c r="D332" s="8" t="s">
        <v>81</v>
      </c>
      <c r="E332" s="8"/>
      <c r="F332" s="8" t="n">
        <v>62</v>
      </c>
      <c r="G332" s="8" t="n">
        <v>66</v>
      </c>
      <c r="H332" s="8" t="n">
        <v>72</v>
      </c>
      <c r="I332" s="8" t="n">
        <v>22</v>
      </c>
      <c r="J332" s="8" t="n">
        <v>20</v>
      </c>
      <c r="K332" s="8" t="n">
        <v>22</v>
      </c>
      <c r="L332" s="8" t="n">
        <v>13</v>
      </c>
      <c r="M332" s="8" t="n">
        <v>22</v>
      </c>
      <c r="N332" s="8" t="n">
        <v>0</v>
      </c>
      <c r="O332" s="8" t="n">
        <v>2</v>
      </c>
      <c r="P332" s="8" t="n">
        <v>301</v>
      </c>
      <c r="Q332" s="8" t="n">
        <v>1</v>
      </c>
      <c r="R332" s="8" t="n">
        <v>303</v>
      </c>
      <c r="S332" s="8" t="n">
        <v>373</v>
      </c>
    </row>
    <row r="333" customFormat="false" ht="15" hidden="false" customHeight="false" outlineLevel="0" collapsed="false">
      <c r="A333" s="8" t="n">
        <v>2022</v>
      </c>
      <c r="B333" s="8" t="s">
        <v>140</v>
      </c>
      <c r="C333" s="8" t="s">
        <v>206</v>
      </c>
      <c r="D333" s="8" t="s">
        <v>83</v>
      </c>
      <c r="E333" s="8"/>
      <c r="F333" s="8" t="n">
        <v>211</v>
      </c>
      <c r="G333" s="8" t="n">
        <v>192</v>
      </c>
      <c r="H333" s="8" t="n">
        <v>402</v>
      </c>
      <c r="I333" s="8" t="n">
        <v>70</v>
      </c>
      <c r="J333" s="8" t="n">
        <v>27</v>
      </c>
      <c r="K333" s="8" t="n">
        <v>49</v>
      </c>
      <c r="L333" s="8" t="n">
        <v>55</v>
      </c>
      <c r="M333" s="8" t="n">
        <v>47</v>
      </c>
      <c r="N333" s="8" t="n">
        <v>0</v>
      </c>
      <c r="O333" s="8" t="n">
        <v>9</v>
      </c>
      <c r="P333" s="8" t="n">
        <v>1062</v>
      </c>
      <c r="Q333" s="8" t="n">
        <v>15</v>
      </c>
      <c r="R333" s="8" t="n">
        <v>1077</v>
      </c>
      <c r="S333" s="8" t="n">
        <v>1268</v>
      </c>
    </row>
    <row r="334" customFormat="false" ht="15" hidden="false" customHeight="false" outlineLevel="0" collapsed="false">
      <c r="A334" s="8" t="n">
        <v>2022</v>
      </c>
      <c r="B334" s="8" t="s">
        <v>140</v>
      </c>
      <c r="C334" s="8" t="s">
        <v>230</v>
      </c>
      <c r="D334" s="8" t="s">
        <v>85</v>
      </c>
      <c r="E334" s="8"/>
      <c r="F334" s="8" t="n">
        <v>301</v>
      </c>
      <c r="G334" s="8" t="n">
        <v>355</v>
      </c>
      <c r="H334" s="8" t="n">
        <v>495</v>
      </c>
      <c r="I334" s="8" t="n">
        <v>75</v>
      </c>
      <c r="J334" s="8" t="n">
        <v>26</v>
      </c>
      <c r="K334" s="8" t="n">
        <v>57</v>
      </c>
      <c r="L334" s="8" t="n">
        <v>61</v>
      </c>
      <c r="M334" s="8" t="n">
        <v>33</v>
      </c>
      <c r="N334" s="8" t="n">
        <v>0</v>
      </c>
      <c r="O334" s="8" t="n">
        <v>7</v>
      </c>
      <c r="P334" s="8" t="n">
        <v>1410</v>
      </c>
      <c r="Q334" s="8" t="n">
        <v>11</v>
      </c>
      <c r="R334" s="8" t="n">
        <v>1424</v>
      </c>
      <c r="S334" s="8" t="n">
        <v>1711</v>
      </c>
    </row>
    <row r="335" customFormat="false" ht="15" hidden="false" customHeight="false" outlineLevel="0" collapsed="false">
      <c r="A335" s="8" t="n">
        <v>2022</v>
      </c>
      <c r="B335" s="8" t="s">
        <v>140</v>
      </c>
      <c r="C335" s="8" t="s">
        <v>208</v>
      </c>
      <c r="D335" s="8" t="s">
        <v>87</v>
      </c>
      <c r="E335" s="8"/>
      <c r="F335" s="8" t="n">
        <v>345</v>
      </c>
      <c r="G335" s="8" t="n">
        <v>317</v>
      </c>
      <c r="H335" s="8" t="n">
        <v>418</v>
      </c>
      <c r="I335" s="8" t="n">
        <v>87</v>
      </c>
      <c r="J335" s="8" t="n">
        <v>23</v>
      </c>
      <c r="K335" s="8" t="n">
        <v>57</v>
      </c>
      <c r="L335" s="8" t="n">
        <v>72</v>
      </c>
      <c r="M335" s="8" t="n">
        <v>22</v>
      </c>
      <c r="N335" s="8" t="n">
        <v>0</v>
      </c>
      <c r="O335" s="8" t="n">
        <v>10</v>
      </c>
      <c r="P335" s="8" t="n">
        <v>1351</v>
      </c>
      <c r="Q335" s="8" t="n">
        <v>16</v>
      </c>
      <c r="R335" s="8" t="n">
        <v>1367</v>
      </c>
      <c r="S335" s="8" t="n">
        <v>1562</v>
      </c>
    </row>
    <row r="336" customFormat="false" ht="15" hidden="false" customHeight="false" outlineLevel="0" collapsed="false">
      <c r="A336" s="8" t="n">
        <v>2022</v>
      </c>
      <c r="B336" s="8" t="s">
        <v>140</v>
      </c>
      <c r="C336" s="8" t="s">
        <v>210</v>
      </c>
      <c r="D336" s="8" t="s">
        <v>89</v>
      </c>
      <c r="E336" s="8"/>
      <c r="F336" s="8" t="n">
        <v>309</v>
      </c>
      <c r="G336" s="8" t="n">
        <v>331</v>
      </c>
      <c r="H336" s="8" t="n">
        <v>504</v>
      </c>
      <c r="I336" s="8" t="n">
        <v>60</v>
      </c>
      <c r="J336" s="8" t="n">
        <v>38</v>
      </c>
      <c r="K336" s="8" t="n">
        <v>58</v>
      </c>
      <c r="L336" s="8" t="n">
        <v>59</v>
      </c>
      <c r="M336" s="8" t="n">
        <v>33</v>
      </c>
      <c r="N336" s="8" t="n">
        <v>0</v>
      </c>
      <c r="O336" s="8" t="n">
        <v>22</v>
      </c>
      <c r="P336" s="8" t="n">
        <v>1414</v>
      </c>
      <c r="Q336" s="8" t="n">
        <v>16</v>
      </c>
      <c r="R336" s="8" t="n">
        <v>1431</v>
      </c>
      <c r="S336" s="8" t="n">
        <v>1663</v>
      </c>
    </row>
    <row r="337" customFormat="false" ht="15" hidden="false" customHeight="false" outlineLevel="0" collapsed="false">
      <c r="A337" s="8" t="n">
        <v>2022</v>
      </c>
      <c r="B337" s="8" t="s">
        <v>140</v>
      </c>
      <c r="C337" s="8" t="s">
        <v>214</v>
      </c>
      <c r="D337" s="8" t="s">
        <v>91</v>
      </c>
      <c r="E337" s="8"/>
      <c r="F337" s="8" t="n">
        <v>217</v>
      </c>
      <c r="G337" s="8" t="n">
        <v>134</v>
      </c>
      <c r="H337" s="8" t="n">
        <v>279</v>
      </c>
      <c r="I337" s="8" t="n">
        <v>43</v>
      </c>
      <c r="J337" s="8" t="n">
        <v>22</v>
      </c>
      <c r="K337" s="8" t="n">
        <v>31</v>
      </c>
      <c r="L337" s="8" t="n">
        <v>29</v>
      </c>
      <c r="M337" s="8" t="n">
        <v>26</v>
      </c>
      <c r="N337" s="8" t="n">
        <v>0</v>
      </c>
      <c r="O337" s="8" t="n">
        <v>10</v>
      </c>
      <c r="P337" s="8" t="n">
        <v>791</v>
      </c>
      <c r="Q337" s="8" t="n">
        <v>12</v>
      </c>
      <c r="R337" s="8" t="n">
        <v>804</v>
      </c>
      <c r="S337" s="8" t="n">
        <v>912</v>
      </c>
    </row>
    <row r="338" customFormat="false" ht="15" hidden="false" customHeight="false" outlineLevel="0" collapsed="false">
      <c r="A338" s="8" t="n">
        <v>2022</v>
      </c>
      <c r="B338" s="8" t="s">
        <v>140</v>
      </c>
      <c r="C338" s="8" t="s">
        <v>234</v>
      </c>
      <c r="D338" s="8" t="s">
        <v>93</v>
      </c>
      <c r="E338" s="8"/>
      <c r="F338" s="8" t="n">
        <v>252</v>
      </c>
      <c r="G338" s="8" t="n">
        <v>270</v>
      </c>
      <c r="H338" s="8" t="n">
        <v>205</v>
      </c>
      <c r="I338" s="8" t="n">
        <v>73</v>
      </c>
      <c r="J338" s="8" t="n">
        <v>20</v>
      </c>
      <c r="K338" s="8" t="n">
        <v>86</v>
      </c>
      <c r="L338" s="8" t="n">
        <v>75</v>
      </c>
      <c r="M338" s="8" t="n">
        <v>49</v>
      </c>
      <c r="N338" s="8" t="n">
        <v>0</v>
      </c>
      <c r="O338" s="8" t="n">
        <v>9</v>
      </c>
      <c r="P338" s="8" t="n">
        <v>1039</v>
      </c>
      <c r="Q338" s="8" t="n">
        <v>9</v>
      </c>
      <c r="R338" s="8" t="n">
        <v>1048</v>
      </c>
      <c r="S338" s="8" t="n">
        <v>1178</v>
      </c>
    </row>
    <row r="339" customFormat="false" ht="15" hidden="false" customHeight="false" outlineLevel="0" collapsed="false">
      <c r="A339" s="8" t="n">
        <v>2022</v>
      </c>
      <c r="B339" s="8" t="s">
        <v>140</v>
      </c>
      <c r="C339" s="8" t="s">
        <v>235</v>
      </c>
      <c r="D339" s="8" t="s">
        <v>95</v>
      </c>
      <c r="E339" s="8"/>
      <c r="F339" s="8" t="n">
        <v>204</v>
      </c>
      <c r="G339" s="8" t="n">
        <v>217</v>
      </c>
      <c r="H339" s="8" t="n">
        <v>190</v>
      </c>
      <c r="I339" s="8" t="n">
        <v>74</v>
      </c>
      <c r="J339" s="8" t="n">
        <v>23</v>
      </c>
      <c r="K339" s="8" t="n">
        <v>70</v>
      </c>
      <c r="L339" s="8" t="n">
        <v>46</v>
      </c>
      <c r="M339" s="8" t="n">
        <v>35</v>
      </c>
      <c r="N339" s="8" t="n">
        <v>0</v>
      </c>
      <c r="O339" s="8" t="n">
        <v>4</v>
      </c>
      <c r="P339" s="8" t="n">
        <v>863</v>
      </c>
      <c r="Q339" s="8" t="n">
        <v>10</v>
      </c>
      <c r="R339" s="8" t="n">
        <v>876</v>
      </c>
      <c r="S339" s="8" t="n">
        <v>1004</v>
      </c>
    </row>
    <row r="340" customFormat="false" ht="15" hidden="false" customHeight="false" outlineLevel="0" collapsed="false">
      <c r="A340" s="8" t="n">
        <v>2022</v>
      </c>
      <c r="B340" s="8" t="s">
        <v>140</v>
      </c>
      <c r="C340" s="8" t="s">
        <v>146</v>
      </c>
      <c r="D340" s="8" t="s">
        <v>147</v>
      </c>
      <c r="E340" s="8" t="s">
        <v>218</v>
      </c>
      <c r="F340" s="8" t="n">
        <v>191</v>
      </c>
      <c r="G340" s="8" t="n">
        <v>146</v>
      </c>
      <c r="H340" s="8" t="n">
        <v>162</v>
      </c>
      <c r="I340" s="8" t="n">
        <v>47</v>
      </c>
      <c r="J340" s="8" t="n">
        <v>56</v>
      </c>
      <c r="K340" s="8" t="n">
        <v>40</v>
      </c>
      <c r="L340" s="8" t="n">
        <v>28</v>
      </c>
      <c r="M340" s="8" t="n">
        <v>45</v>
      </c>
      <c r="N340" s="8" t="n">
        <v>0</v>
      </c>
      <c r="O340" s="8" t="n">
        <v>26</v>
      </c>
      <c r="P340" s="8" t="n">
        <v>741</v>
      </c>
      <c r="Q340" s="8" t="n">
        <v>15</v>
      </c>
      <c r="R340" s="8" t="n">
        <v>760</v>
      </c>
      <c r="S340" s="8" t="n">
        <v>0</v>
      </c>
    </row>
    <row r="341" customFormat="false" ht="15" hidden="false" customHeight="false" outlineLevel="0" collapsed="false">
      <c r="A341" s="8" t="n">
        <v>2022</v>
      </c>
      <c r="B341" s="8" t="s">
        <v>139</v>
      </c>
      <c r="C341" s="8" t="s">
        <v>172</v>
      </c>
      <c r="D341" s="8" t="s">
        <v>45</v>
      </c>
      <c r="E341" s="8"/>
      <c r="F341" s="8" t="n">
        <v>339</v>
      </c>
      <c r="G341" s="8" t="n">
        <v>208</v>
      </c>
      <c r="H341" s="8" t="n">
        <v>278</v>
      </c>
      <c r="I341" s="8" t="n">
        <v>149</v>
      </c>
      <c r="J341" s="8" t="n">
        <v>43</v>
      </c>
      <c r="K341" s="8" t="n">
        <v>32</v>
      </c>
      <c r="L341" s="8" t="n">
        <v>67</v>
      </c>
      <c r="M341" s="8" t="n">
        <v>29</v>
      </c>
      <c r="N341" s="8" t="n">
        <v>0</v>
      </c>
      <c r="O341" s="8" t="n">
        <v>17</v>
      </c>
      <c r="P341" s="8" t="n">
        <v>1162</v>
      </c>
      <c r="Q341" s="8" t="n">
        <v>21</v>
      </c>
      <c r="R341" s="8" t="n">
        <v>1186</v>
      </c>
      <c r="S341" s="8" t="n">
        <v>1488</v>
      </c>
    </row>
    <row r="342" customFormat="false" ht="15" hidden="false" customHeight="false" outlineLevel="0" collapsed="false">
      <c r="A342" s="8" t="n">
        <v>2022</v>
      </c>
      <c r="B342" s="8" t="s">
        <v>139</v>
      </c>
      <c r="C342" s="8" t="s">
        <v>174</v>
      </c>
      <c r="D342" s="8" t="s">
        <v>47</v>
      </c>
      <c r="E342" s="8"/>
      <c r="F342" s="8" t="n">
        <v>372</v>
      </c>
      <c r="G342" s="8" t="n">
        <v>159</v>
      </c>
      <c r="H342" s="8" t="n">
        <v>199</v>
      </c>
      <c r="I342" s="8" t="n">
        <v>113</v>
      </c>
      <c r="J342" s="8" t="n">
        <v>94</v>
      </c>
      <c r="K342" s="8" t="n">
        <v>11</v>
      </c>
      <c r="L342" s="8" t="n">
        <v>55</v>
      </c>
      <c r="M342" s="8" t="n">
        <v>32</v>
      </c>
      <c r="N342" s="8" t="n">
        <v>0</v>
      </c>
      <c r="O342" s="8" t="n">
        <v>30</v>
      </c>
      <c r="P342" s="8" t="n">
        <v>1065</v>
      </c>
      <c r="Q342" s="8" t="n">
        <v>25</v>
      </c>
      <c r="R342" s="8" t="n">
        <v>1091</v>
      </c>
      <c r="S342" s="8" t="n">
        <v>1547</v>
      </c>
    </row>
    <row r="343" customFormat="false" ht="15" hidden="false" customHeight="false" outlineLevel="0" collapsed="false">
      <c r="A343" s="8" t="n">
        <v>2022</v>
      </c>
      <c r="B343" s="8" t="s">
        <v>139</v>
      </c>
      <c r="C343" s="8" t="s">
        <v>176</v>
      </c>
      <c r="D343" s="8" t="s">
        <v>49</v>
      </c>
      <c r="E343" s="8"/>
      <c r="F343" s="8" t="n">
        <v>394</v>
      </c>
      <c r="G343" s="8" t="n">
        <v>110</v>
      </c>
      <c r="H343" s="8" t="n">
        <v>218</v>
      </c>
      <c r="I343" s="8" t="n">
        <v>79</v>
      </c>
      <c r="J343" s="8" t="n">
        <v>103</v>
      </c>
      <c r="K343" s="8" t="n">
        <v>36</v>
      </c>
      <c r="L343" s="8" t="n">
        <v>26</v>
      </c>
      <c r="M343" s="8" t="n">
        <v>28</v>
      </c>
      <c r="N343" s="8" t="n">
        <v>0</v>
      </c>
      <c r="O343" s="8" t="n">
        <v>48</v>
      </c>
      <c r="P343" s="8" t="n">
        <v>1042</v>
      </c>
      <c r="Q343" s="8" t="n">
        <v>25</v>
      </c>
      <c r="R343" s="8" t="n">
        <v>1071</v>
      </c>
      <c r="S343" s="8" t="n">
        <v>1700</v>
      </c>
    </row>
    <row r="344" customFormat="false" ht="15" hidden="false" customHeight="false" outlineLevel="0" collapsed="false">
      <c r="A344" s="8" t="n">
        <v>2022</v>
      </c>
      <c r="B344" s="8" t="s">
        <v>139</v>
      </c>
      <c r="C344" s="8" t="s">
        <v>178</v>
      </c>
      <c r="D344" s="8" t="s">
        <v>51</v>
      </c>
      <c r="E344" s="8"/>
      <c r="F344" s="8" t="n">
        <v>298</v>
      </c>
      <c r="G344" s="8" t="n">
        <v>118</v>
      </c>
      <c r="H344" s="8" t="n">
        <v>206</v>
      </c>
      <c r="I344" s="8" t="n">
        <v>61</v>
      </c>
      <c r="J344" s="8" t="n">
        <v>83</v>
      </c>
      <c r="K344" s="8" t="n">
        <v>19</v>
      </c>
      <c r="L344" s="8" t="n">
        <v>35</v>
      </c>
      <c r="M344" s="8" t="n">
        <v>30</v>
      </c>
      <c r="N344" s="8" t="n">
        <v>0</v>
      </c>
      <c r="O344" s="8" t="n">
        <v>41</v>
      </c>
      <c r="P344" s="8" t="n">
        <v>891</v>
      </c>
      <c r="Q344" s="8" t="n">
        <v>26</v>
      </c>
      <c r="R344" s="8" t="n">
        <v>920</v>
      </c>
      <c r="S344" s="8" t="n">
        <v>1468</v>
      </c>
    </row>
    <row r="345" customFormat="false" ht="15" hidden="false" customHeight="false" outlineLevel="0" collapsed="false">
      <c r="A345" s="8" t="n">
        <v>2022</v>
      </c>
      <c r="B345" s="8" t="s">
        <v>139</v>
      </c>
      <c r="C345" s="8" t="s">
        <v>180</v>
      </c>
      <c r="D345" s="8" t="s">
        <v>53</v>
      </c>
      <c r="E345" s="8"/>
      <c r="F345" s="8" t="n">
        <v>325</v>
      </c>
      <c r="G345" s="8" t="n">
        <v>66</v>
      </c>
      <c r="H345" s="8" t="n">
        <v>178</v>
      </c>
      <c r="I345" s="8" t="n">
        <v>50</v>
      </c>
      <c r="J345" s="8" t="n">
        <v>95</v>
      </c>
      <c r="K345" s="8" t="n">
        <v>12</v>
      </c>
      <c r="L345" s="8" t="n">
        <v>18</v>
      </c>
      <c r="M345" s="8" t="n">
        <v>15</v>
      </c>
      <c r="N345" s="8" t="n">
        <v>0</v>
      </c>
      <c r="O345" s="8" t="n">
        <v>69</v>
      </c>
      <c r="P345" s="8" t="n">
        <v>828</v>
      </c>
      <c r="Q345" s="8" t="n">
        <v>12</v>
      </c>
      <c r="R345" s="8" t="n">
        <v>841</v>
      </c>
      <c r="S345" s="8" t="n">
        <v>1560</v>
      </c>
    </row>
    <row r="346" customFormat="false" ht="15" hidden="false" customHeight="false" outlineLevel="0" collapsed="false">
      <c r="A346" s="8" t="n">
        <v>2022</v>
      </c>
      <c r="B346" s="8" t="s">
        <v>139</v>
      </c>
      <c r="C346" s="8" t="s">
        <v>182</v>
      </c>
      <c r="D346" s="8" t="s">
        <v>55</v>
      </c>
      <c r="E346" s="8"/>
      <c r="F346" s="8" t="n">
        <v>402</v>
      </c>
      <c r="G346" s="8" t="n">
        <v>145</v>
      </c>
      <c r="H346" s="8" t="n">
        <v>177</v>
      </c>
      <c r="I346" s="8" t="n">
        <v>59</v>
      </c>
      <c r="J346" s="8" t="n">
        <v>72</v>
      </c>
      <c r="K346" s="8" t="n">
        <v>13</v>
      </c>
      <c r="L346" s="8" t="n">
        <v>21</v>
      </c>
      <c r="M346" s="8" t="n">
        <v>25</v>
      </c>
      <c r="N346" s="8" t="n">
        <v>0</v>
      </c>
      <c r="O346" s="8" t="n">
        <v>67</v>
      </c>
      <c r="P346" s="8" t="n">
        <v>981</v>
      </c>
      <c r="Q346" s="8" t="n">
        <v>11</v>
      </c>
      <c r="R346" s="8" t="n">
        <v>993</v>
      </c>
      <c r="S346" s="8" t="n">
        <v>1806</v>
      </c>
    </row>
    <row r="347" customFormat="false" ht="15" hidden="false" customHeight="false" outlineLevel="0" collapsed="false">
      <c r="A347" s="8" t="n">
        <v>2022</v>
      </c>
      <c r="B347" s="8" t="s">
        <v>139</v>
      </c>
      <c r="C347" s="8" t="s">
        <v>184</v>
      </c>
      <c r="D347" s="8" t="s">
        <v>57</v>
      </c>
      <c r="E347" s="8"/>
      <c r="F347" s="8" t="n">
        <v>302</v>
      </c>
      <c r="G347" s="8" t="n">
        <v>100</v>
      </c>
      <c r="H347" s="8" t="n">
        <v>158</v>
      </c>
      <c r="I347" s="8" t="n">
        <v>127</v>
      </c>
      <c r="J347" s="8" t="n">
        <v>46</v>
      </c>
      <c r="K347" s="8" t="n">
        <v>24</v>
      </c>
      <c r="L347" s="8" t="n">
        <v>41</v>
      </c>
      <c r="M347" s="8" t="n">
        <v>27</v>
      </c>
      <c r="N347" s="8" t="n">
        <v>0</v>
      </c>
      <c r="O347" s="8" t="n">
        <v>12</v>
      </c>
      <c r="P347" s="8" t="n">
        <v>837</v>
      </c>
      <c r="Q347" s="8" t="n">
        <v>16</v>
      </c>
      <c r="R347" s="8" t="n">
        <v>854</v>
      </c>
      <c r="S347" s="8" t="n">
        <v>1133</v>
      </c>
    </row>
    <row r="348" customFormat="false" ht="15" hidden="false" customHeight="false" outlineLevel="0" collapsed="false">
      <c r="A348" s="8" t="n">
        <v>2022</v>
      </c>
      <c r="B348" s="8" t="s">
        <v>139</v>
      </c>
      <c r="C348" s="8" t="s">
        <v>186</v>
      </c>
      <c r="D348" s="8" t="s">
        <v>59</v>
      </c>
      <c r="E348" s="8"/>
      <c r="F348" s="8" t="n">
        <v>390</v>
      </c>
      <c r="G348" s="8" t="n">
        <v>102</v>
      </c>
      <c r="H348" s="8" t="n">
        <v>238</v>
      </c>
      <c r="I348" s="8" t="n">
        <v>87</v>
      </c>
      <c r="J348" s="8" t="n">
        <v>74</v>
      </c>
      <c r="K348" s="8" t="n">
        <v>20</v>
      </c>
      <c r="L348" s="8" t="n">
        <v>39</v>
      </c>
      <c r="M348" s="8" t="n">
        <v>30</v>
      </c>
      <c r="N348" s="8" t="n">
        <v>0</v>
      </c>
      <c r="O348" s="8" t="n">
        <v>41</v>
      </c>
      <c r="P348" s="8" t="n">
        <v>1021</v>
      </c>
      <c r="Q348" s="8" t="n">
        <v>17</v>
      </c>
      <c r="R348" s="8" t="n">
        <v>1040</v>
      </c>
      <c r="S348" s="8" t="n">
        <v>1669</v>
      </c>
    </row>
    <row r="349" customFormat="false" ht="15" hidden="false" customHeight="false" outlineLevel="0" collapsed="false">
      <c r="A349" s="8" t="n">
        <v>2022</v>
      </c>
      <c r="B349" s="8" t="s">
        <v>139</v>
      </c>
      <c r="C349" s="8" t="s">
        <v>188</v>
      </c>
      <c r="D349" s="8" t="s">
        <v>61</v>
      </c>
      <c r="E349" s="8"/>
      <c r="F349" s="8" t="n">
        <v>394</v>
      </c>
      <c r="G349" s="8" t="n">
        <v>146</v>
      </c>
      <c r="H349" s="8" t="n">
        <v>251</v>
      </c>
      <c r="I349" s="8" t="n">
        <v>101</v>
      </c>
      <c r="J349" s="8" t="n">
        <v>63</v>
      </c>
      <c r="K349" s="8" t="n">
        <v>29</v>
      </c>
      <c r="L349" s="8" t="n">
        <v>45</v>
      </c>
      <c r="M349" s="8" t="n">
        <v>33</v>
      </c>
      <c r="N349" s="8" t="n">
        <v>0</v>
      </c>
      <c r="O349" s="8" t="n">
        <v>25</v>
      </c>
      <c r="P349" s="8" t="n">
        <v>1087</v>
      </c>
      <c r="Q349" s="8" t="n">
        <v>29</v>
      </c>
      <c r="R349" s="8" t="n">
        <v>1118</v>
      </c>
      <c r="S349" s="8" t="n">
        <v>1526</v>
      </c>
    </row>
    <row r="350" customFormat="false" ht="15" hidden="false" customHeight="false" outlineLevel="0" collapsed="false">
      <c r="A350" s="8" t="n">
        <v>2022</v>
      </c>
      <c r="B350" s="8" t="s">
        <v>139</v>
      </c>
      <c r="C350" s="8" t="s">
        <v>190</v>
      </c>
      <c r="D350" s="8" t="s">
        <v>63</v>
      </c>
      <c r="E350" s="8"/>
      <c r="F350" s="8" t="n">
        <v>324</v>
      </c>
      <c r="G350" s="8" t="n">
        <v>59</v>
      </c>
      <c r="H350" s="8" t="n">
        <v>242</v>
      </c>
      <c r="I350" s="8" t="n">
        <v>53</v>
      </c>
      <c r="J350" s="8" t="n">
        <v>33</v>
      </c>
      <c r="K350" s="8" t="n">
        <v>4</v>
      </c>
      <c r="L350" s="8" t="n">
        <v>33</v>
      </c>
      <c r="M350" s="8" t="n">
        <v>14</v>
      </c>
      <c r="N350" s="8" t="n">
        <v>0</v>
      </c>
      <c r="O350" s="8" t="n">
        <v>18</v>
      </c>
      <c r="P350" s="8" t="n">
        <v>780</v>
      </c>
      <c r="Q350" s="8" t="n">
        <v>17</v>
      </c>
      <c r="R350" s="8" t="n">
        <v>798</v>
      </c>
      <c r="S350" s="8" t="n">
        <v>1056</v>
      </c>
    </row>
    <row r="351" customFormat="false" ht="15" hidden="false" customHeight="false" outlineLevel="0" collapsed="false">
      <c r="A351" s="8" t="n">
        <v>2022</v>
      </c>
      <c r="B351" s="8" t="s">
        <v>139</v>
      </c>
      <c r="C351" s="8" t="s">
        <v>192</v>
      </c>
      <c r="D351" s="8" t="s">
        <v>65</v>
      </c>
      <c r="E351" s="8"/>
      <c r="F351" s="8" t="n">
        <v>404</v>
      </c>
      <c r="G351" s="8" t="n">
        <v>92</v>
      </c>
      <c r="H351" s="8" t="n">
        <v>144</v>
      </c>
      <c r="I351" s="8" t="n">
        <v>112</v>
      </c>
      <c r="J351" s="8" t="n">
        <v>57</v>
      </c>
      <c r="K351" s="8" t="n">
        <v>17</v>
      </c>
      <c r="L351" s="8" t="n">
        <v>32</v>
      </c>
      <c r="M351" s="8" t="n">
        <v>17</v>
      </c>
      <c r="N351" s="8" t="n">
        <v>0</v>
      </c>
      <c r="O351" s="8" t="n">
        <v>21</v>
      </c>
      <c r="P351" s="8" t="n">
        <v>896</v>
      </c>
      <c r="Q351" s="8" t="n">
        <v>19</v>
      </c>
      <c r="R351" s="8" t="n">
        <v>917</v>
      </c>
      <c r="S351" s="8" t="n">
        <v>1144</v>
      </c>
    </row>
    <row r="352" customFormat="false" ht="15" hidden="false" customHeight="false" outlineLevel="0" collapsed="false">
      <c r="A352" s="8" t="n">
        <v>2022</v>
      </c>
      <c r="B352" s="8" t="s">
        <v>139</v>
      </c>
      <c r="C352" s="8" t="s">
        <v>194</v>
      </c>
      <c r="D352" s="8" t="s">
        <v>67</v>
      </c>
      <c r="E352" s="8"/>
      <c r="F352" s="8" t="n">
        <v>324</v>
      </c>
      <c r="G352" s="8" t="n">
        <v>41</v>
      </c>
      <c r="H352" s="8" t="n">
        <v>117</v>
      </c>
      <c r="I352" s="8" t="n">
        <v>21</v>
      </c>
      <c r="J352" s="8" t="n">
        <v>91</v>
      </c>
      <c r="K352" s="8" t="n">
        <v>18</v>
      </c>
      <c r="L352" s="8" t="n">
        <v>12</v>
      </c>
      <c r="M352" s="8" t="n">
        <v>19</v>
      </c>
      <c r="N352" s="8" t="n">
        <v>0</v>
      </c>
      <c r="O352" s="8" t="n">
        <v>157</v>
      </c>
      <c r="P352" s="8" t="n">
        <v>800</v>
      </c>
      <c r="Q352" s="8" t="n">
        <v>5</v>
      </c>
      <c r="R352" s="8" t="n">
        <v>810</v>
      </c>
      <c r="S352" s="8" t="n">
        <v>1486</v>
      </c>
    </row>
    <row r="353" customFormat="false" ht="15" hidden="false" customHeight="false" outlineLevel="0" collapsed="false">
      <c r="A353" s="8" t="n">
        <v>2022</v>
      </c>
      <c r="B353" s="8" t="s">
        <v>139</v>
      </c>
      <c r="C353" s="8" t="s">
        <v>196</v>
      </c>
      <c r="D353" s="8" t="s">
        <v>69</v>
      </c>
      <c r="E353" s="8"/>
      <c r="F353" s="8" t="n">
        <v>359</v>
      </c>
      <c r="G353" s="8" t="n">
        <v>86</v>
      </c>
      <c r="H353" s="8" t="n">
        <v>176</v>
      </c>
      <c r="I353" s="8" t="n">
        <v>55</v>
      </c>
      <c r="J353" s="8" t="n">
        <v>92</v>
      </c>
      <c r="K353" s="8" t="n">
        <v>25</v>
      </c>
      <c r="L353" s="8" t="n">
        <v>38</v>
      </c>
      <c r="M353" s="8" t="n">
        <v>25</v>
      </c>
      <c r="N353" s="8" t="n">
        <v>0</v>
      </c>
      <c r="O353" s="8" t="n">
        <v>70</v>
      </c>
      <c r="P353" s="8" t="n">
        <v>926</v>
      </c>
      <c r="Q353" s="8" t="n">
        <v>18</v>
      </c>
      <c r="R353" s="8" t="n">
        <v>944</v>
      </c>
      <c r="S353" s="8" t="n">
        <v>1562</v>
      </c>
    </row>
    <row r="354" customFormat="false" ht="15" hidden="false" customHeight="false" outlineLevel="0" collapsed="false">
      <c r="A354" s="8" t="n">
        <v>2022</v>
      </c>
      <c r="B354" s="8" t="s">
        <v>139</v>
      </c>
      <c r="C354" s="8" t="s">
        <v>198</v>
      </c>
      <c r="D354" s="8" t="s">
        <v>71</v>
      </c>
      <c r="E354" s="8"/>
      <c r="F354" s="8" t="n">
        <v>517</v>
      </c>
      <c r="G354" s="8" t="n">
        <v>142</v>
      </c>
      <c r="H354" s="8" t="n">
        <v>228</v>
      </c>
      <c r="I354" s="8" t="n">
        <v>112</v>
      </c>
      <c r="J354" s="8" t="n">
        <v>42</v>
      </c>
      <c r="K354" s="8" t="n">
        <v>30</v>
      </c>
      <c r="L354" s="8" t="n">
        <v>48</v>
      </c>
      <c r="M354" s="8" t="n">
        <v>13</v>
      </c>
      <c r="N354" s="8" t="n">
        <v>0</v>
      </c>
      <c r="O354" s="8" t="n">
        <v>26</v>
      </c>
      <c r="P354" s="8" t="n">
        <v>1158</v>
      </c>
      <c r="Q354" s="8" t="n">
        <v>37</v>
      </c>
      <c r="R354" s="8" t="n">
        <v>1196</v>
      </c>
      <c r="S354" s="8" t="n">
        <v>1460</v>
      </c>
    </row>
    <row r="355" customFormat="false" ht="15" hidden="false" customHeight="false" outlineLevel="0" collapsed="false">
      <c r="A355" s="8" t="n">
        <v>2022</v>
      </c>
      <c r="B355" s="8" t="s">
        <v>139</v>
      </c>
      <c r="C355" s="8" t="s">
        <v>200</v>
      </c>
      <c r="D355" s="8" t="s">
        <v>73</v>
      </c>
      <c r="E355" s="8"/>
      <c r="F355" s="8" t="n">
        <v>542</v>
      </c>
      <c r="G355" s="8" t="n">
        <v>224</v>
      </c>
      <c r="H355" s="8" t="n">
        <v>258</v>
      </c>
      <c r="I355" s="8" t="n">
        <v>211</v>
      </c>
      <c r="J355" s="8" t="n">
        <v>37</v>
      </c>
      <c r="K355" s="8" t="n">
        <v>27</v>
      </c>
      <c r="L355" s="8" t="n">
        <v>70</v>
      </c>
      <c r="M355" s="8" t="n">
        <v>21</v>
      </c>
      <c r="N355" s="8" t="n">
        <v>0</v>
      </c>
      <c r="O355" s="8" t="n">
        <v>10</v>
      </c>
      <c r="P355" s="8" t="n">
        <v>1400</v>
      </c>
      <c r="Q355" s="8" t="n">
        <v>27</v>
      </c>
      <c r="R355" s="8" t="n">
        <v>1431</v>
      </c>
      <c r="S355" s="8" t="n">
        <v>1596</v>
      </c>
    </row>
    <row r="356" customFormat="false" ht="15" hidden="false" customHeight="false" outlineLevel="0" collapsed="false">
      <c r="A356" s="8" t="n">
        <v>2022</v>
      </c>
      <c r="B356" s="8" t="s">
        <v>139</v>
      </c>
      <c r="C356" s="8" t="s">
        <v>202</v>
      </c>
      <c r="D356" s="8" t="s">
        <v>75</v>
      </c>
      <c r="E356" s="8"/>
      <c r="F356" s="8" t="n">
        <v>374</v>
      </c>
      <c r="G356" s="8" t="n">
        <v>418</v>
      </c>
      <c r="H356" s="8" t="n">
        <v>191</v>
      </c>
      <c r="I356" s="8" t="n">
        <v>297</v>
      </c>
      <c r="J356" s="8" t="n">
        <v>29</v>
      </c>
      <c r="K356" s="8" t="n">
        <v>45</v>
      </c>
      <c r="L356" s="8" t="n">
        <v>108</v>
      </c>
      <c r="M356" s="8" t="n">
        <v>32</v>
      </c>
      <c r="N356" s="8" t="n">
        <v>0</v>
      </c>
      <c r="O356" s="8" t="n">
        <v>10</v>
      </c>
      <c r="P356" s="8" t="n">
        <v>1504</v>
      </c>
      <c r="Q356" s="8" t="n">
        <v>29</v>
      </c>
      <c r="R356" s="8" t="n">
        <v>1535</v>
      </c>
      <c r="S356" s="8" t="n">
        <v>1675</v>
      </c>
    </row>
    <row r="357" customFormat="false" ht="15" hidden="false" customHeight="false" outlineLevel="0" collapsed="false">
      <c r="A357" s="8" t="n">
        <v>2022</v>
      </c>
      <c r="B357" s="8" t="s">
        <v>139</v>
      </c>
      <c r="C357" s="8" t="s">
        <v>232</v>
      </c>
      <c r="D357" s="8" t="s">
        <v>77</v>
      </c>
      <c r="E357" s="8"/>
      <c r="F357" s="8" t="n">
        <v>154</v>
      </c>
      <c r="G357" s="8" t="n">
        <v>207</v>
      </c>
      <c r="H357" s="8" t="n">
        <v>81</v>
      </c>
      <c r="I357" s="8" t="n">
        <v>139</v>
      </c>
      <c r="J357" s="8" t="n">
        <v>13</v>
      </c>
      <c r="K357" s="8" t="n">
        <v>18</v>
      </c>
      <c r="L357" s="8" t="n">
        <v>43</v>
      </c>
      <c r="M357" s="8" t="n">
        <v>14</v>
      </c>
      <c r="N357" s="8" t="n">
        <v>0</v>
      </c>
      <c r="O357" s="8" t="n">
        <v>5</v>
      </c>
      <c r="P357" s="8" t="n">
        <v>674</v>
      </c>
      <c r="Q357" s="8" t="n">
        <v>10</v>
      </c>
      <c r="R357" s="8" t="n">
        <v>686</v>
      </c>
      <c r="S357" s="8" t="n">
        <v>738</v>
      </c>
    </row>
    <row r="358" customFormat="false" ht="15" hidden="false" customHeight="false" outlineLevel="0" collapsed="false">
      <c r="A358" s="8" t="n">
        <v>2022</v>
      </c>
      <c r="B358" s="8" t="s">
        <v>139</v>
      </c>
      <c r="C358" s="8" t="s">
        <v>233</v>
      </c>
      <c r="D358" s="8" t="s">
        <v>79</v>
      </c>
      <c r="E358" s="8"/>
      <c r="F358" s="8" t="n">
        <v>328</v>
      </c>
      <c r="G358" s="8" t="n">
        <v>97</v>
      </c>
      <c r="H358" s="8" t="n">
        <v>183</v>
      </c>
      <c r="I358" s="8" t="n">
        <v>46</v>
      </c>
      <c r="J358" s="8" t="n">
        <v>95</v>
      </c>
      <c r="K358" s="8" t="n">
        <v>21</v>
      </c>
      <c r="L358" s="8" t="n">
        <v>29</v>
      </c>
      <c r="M358" s="8" t="n">
        <v>19</v>
      </c>
      <c r="N358" s="8" t="n">
        <v>0</v>
      </c>
      <c r="O358" s="8" t="n">
        <v>67</v>
      </c>
      <c r="P358" s="8" t="n">
        <v>885</v>
      </c>
      <c r="Q358" s="8" t="n">
        <v>12</v>
      </c>
      <c r="R358" s="8" t="n">
        <v>901</v>
      </c>
      <c r="S358" s="8" t="n">
        <v>1640</v>
      </c>
    </row>
    <row r="359" customFormat="false" ht="15" hidden="false" customHeight="false" outlineLevel="0" collapsed="false">
      <c r="A359" s="8" t="n">
        <v>2022</v>
      </c>
      <c r="B359" s="8" t="s">
        <v>139</v>
      </c>
      <c r="C359" s="8" t="s">
        <v>204</v>
      </c>
      <c r="D359" s="8" t="s">
        <v>81</v>
      </c>
      <c r="E359" s="8"/>
      <c r="F359" s="8" t="n">
        <v>61</v>
      </c>
      <c r="G359" s="8" t="n">
        <v>85</v>
      </c>
      <c r="H359" s="8" t="n">
        <v>52</v>
      </c>
      <c r="I359" s="8" t="n">
        <v>29</v>
      </c>
      <c r="J359" s="8" t="n">
        <v>20</v>
      </c>
      <c r="K359" s="8" t="n">
        <v>17</v>
      </c>
      <c r="L359" s="8" t="n">
        <v>19</v>
      </c>
      <c r="M359" s="8" t="n">
        <v>13</v>
      </c>
      <c r="N359" s="8" t="n">
        <v>0</v>
      </c>
      <c r="O359" s="8" t="n">
        <v>4</v>
      </c>
      <c r="P359" s="8" t="n">
        <v>300</v>
      </c>
      <c r="Q359" s="8" t="n">
        <v>4</v>
      </c>
      <c r="R359" s="8" t="n">
        <v>305</v>
      </c>
      <c r="S359" s="8" t="n">
        <v>355</v>
      </c>
    </row>
    <row r="360" customFormat="false" ht="15" hidden="false" customHeight="false" outlineLevel="0" collapsed="false">
      <c r="A360" s="8" t="n">
        <v>2022</v>
      </c>
      <c r="B360" s="8" t="s">
        <v>139</v>
      </c>
      <c r="C360" s="8" t="s">
        <v>206</v>
      </c>
      <c r="D360" s="8" t="s">
        <v>83</v>
      </c>
      <c r="E360" s="8"/>
      <c r="F360" s="8" t="n">
        <v>227</v>
      </c>
      <c r="G360" s="8" t="n">
        <v>202</v>
      </c>
      <c r="H360" s="8" t="n">
        <v>340</v>
      </c>
      <c r="I360" s="8" t="n">
        <v>98</v>
      </c>
      <c r="J360" s="8" t="n">
        <v>31</v>
      </c>
      <c r="K360" s="8" t="n">
        <v>44</v>
      </c>
      <c r="L360" s="8" t="n">
        <v>61</v>
      </c>
      <c r="M360" s="8" t="n">
        <v>47</v>
      </c>
      <c r="N360" s="8" t="n">
        <v>0</v>
      </c>
      <c r="O360" s="8" t="n">
        <v>12</v>
      </c>
      <c r="P360" s="8" t="n">
        <v>1062</v>
      </c>
      <c r="Q360" s="8" t="n">
        <v>18</v>
      </c>
      <c r="R360" s="8" t="n">
        <v>1081</v>
      </c>
      <c r="S360" s="8" t="n">
        <v>1316</v>
      </c>
    </row>
    <row r="361" customFormat="false" ht="15" hidden="false" customHeight="false" outlineLevel="0" collapsed="false">
      <c r="A361" s="8" t="n">
        <v>2022</v>
      </c>
      <c r="B361" s="8" t="s">
        <v>139</v>
      </c>
      <c r="C361" s="8" t="s">
        <v>230</v>
      </c>
      <c r="D361" s="8" t="s">
        <v>85</v>
      </c>
      <c r="E361" s="8"/>
      <c r="F361" s="8" t="n">
        <v>339</v>
      </c>
      <c r="G361" s="8" t="n">
        <v>354</v>
      </c>
      <c r="H361" s="8" t="n">
        <v>384</v>
      </c>
      <c r="I361" s="8" t="n">
        <v>137</v>
      </c>
      <c r="J361" s="8" t="n">
        <v>45</v>
      </c>
      <c r="K361" s="8" t="n">
        <v>28</v>
      </c>
      <c r="L361" s="8" t="n">
        <v>79</v>
      </c>
      <c r="M361" s="8" t="n">
        <v>22</v>
      </c>
      <c r="N361" s="8" t="n">
        <v>0</v>
      </c>
      <c r="O361" s="8" t="n">
        <v>13</v>
      </c>
      <c r="P361" s="8" t="n">
        <v>1401</v>
      </c>
      <c r="Q361" s="8" t="n">
        <v>28</v>
      </c>
      <c r="R361" s="8" t="n">
        <v>1430</v>
      </c>
      <c r="S361" s="8" t="n">
        <v>1772</v>
      </c>
    </row>
    <row r="362" customFormat="false" ht="15" hidden="false" customHeight="false" outlineLevel="0" collapsed="false">
      <c r="A362" s="8" t="n">
        <v>2022</v>
      </c>
      <c r="B362" s="8" t="s">
        <v>139</v>
      </c>
      <c r="C362" s="8" t="s">
        <v>208</v>
      </c>
      <c r="D362" s="8" t="s">
        <v>87</v>
      </c>
      <c r="E362" s="8"/>
      <c r="F362" s="8" t="n">
        <v>367</v>
      </c>
      <c r="G362" s="8" t="n">
        <v>320</v>
      </c>
      <c r="H362" s="8" t="n">
        <v>316</v>
      </c>
      <c r="I362" s="8" t="n">
        <v>152</v>
      </c>
      <c r="J362" s="8" t="n">
        <v>35</v>
      </c>
      <c r="K362" s="8" t="n">
        <v>40</v>
      </c>
      <c r="L362" s="8" t="n">
        <v>69</v>
      </c>
      <c r="M362" s="8" t="n">
        <v>20</v>
      </c>
      <c r="N362" s="8" t="n">
        <v>0</v>
      </c>
      <c r="O362" s="8" t="n">
        <v>13</v>
      </c>
      <c r="P362" s="8" t="n">
        <v>1332</v>
      </c>
      <c r="Q362" s="8" t="n">
        <v>34</v>
      </c>
      <c r="R362" s="8" t="n">
        <v>1367</v>
      </c>
      <c r="S362" s="8" t="n">
        <v>1580</v>
      </c>
    </row>
    <row r="363" customFormat="false" ht="15" hidden="false" customHeight="false" outlineLevel="0" collapsed="false">
      <c r="A363" s="8" t="n">
        <v>2022</v>
      </c>
      <c r="B363" s="8" t="s">
        <v>139</v>
      </c>
      <c r="C363" s="8" t="s">
        <v>210</v>
      </c>
      <c r="D363" s="8" t="s">
        <v>89</v>
      </c>
      <c r="E363" s="8"/>
      <c r="F363" s="8" t="n">
        <v>329</v>
      </c>
      <c r="G363" s="8" t="n">
        <v>317</v>
      </c>
      <c r="H363" s="8" t="n">
        <v>402</v>
      </c>
      <c r="I363" s="8" t="n">
        <v>137</v>
      </c>
      <c r="J363" s="8" t="n">
        <v>44</v>
      </c>
      <c r="K363" s="8" t="n">
        <v>60</v>
      </c>
      <c r="L363" s="8" t="n">
        <v>69</v>
      </c>
      <c r="M363" s="8" t="n">
        <v>34</v>
      </c>
      <c r="N363" s="8" t="n">
        <v>0</v>
      </c>
      <c r="O363" s="8" t="n">
        <v>15</v>
      </c>
      <c r="P363" s="8" t="n">
        <v>1407</v>
      </c>
      <c r="Q363" s="8" t="n">
        <v>23</v>
      </c>
      <c r="R363" s="8" t="n">
        <v>1430</v>
      </c>
      <c r="S363" s="8" t="n">
        <v>1716</v>
      </c>
    </row>
    <row r="364" customFormat="false" ht="15" hidden="false" customHeight="false" outlineLevel="0" collapsed="false">
      <c r="A364" s="8" t="n">
        <v>2022</v>
      </c>
      <c r="B364" s="8" t="s">
        <v>139</v>
      </c>
      <c r="C364" s="8" t="s">
        <v>214</v>
      </c>
      <c r="D364" s="8" t="s">
        <v>91</v>
      </c>
      <c r="E364" s="8"/>
      <c r="F364" s="8" t="n">
        <v>243</v>
      </c>
      <c r="G364" s="8" t="n">
        <v>121</v>
      </c>
      <c r="H364" s="8" t="n">
        <v>226</v>
      </c>
      <c r="I364" s="8" t="n">
        <v>61</v>
      </c>
      <c r="J364" s="8" t="n">
        <v>37</v>
      </c>
      <c r="K364" s="8" t="n">
        <v>35</v>
      </c>
      <c r="L364" s="8" t="n">
        <v>46</v>
      </c>
      <c r="M364" s="8" t="n">
        <v>18</v>
      </c>
      <c r="N364" s="8" t="n">
        <v>0</v>
      </c>
      <c r="O364" s="8" t="n">
        <v>9</v>
      </c>
      <c r="P364" s="8" t="n">
        <v>796</v>
      </c>
      <c r="Q364" s="8" t="n">
        <v>15</v>
      </c>
      <c r="R364" s="8" t="n">
        <v>813</v>
      </c>
      <c r="S364" s="8" t="n">
        <v>958</v>
      </c>
    </row>
    <row r="365" customFormat="false" ht="15" hidden="false" customHeight="false" outlineLevel="0" collapsed="false">
      <c r="A365" s="8" t="n">
        <v>2022</v>
      </c>
      <c r="B365" s="8" t="s">
        <v>139</v>
      </c>
      <c r="C365" s="8" t="s">
        <v>234</v>
      </c>
      <c r="D365" s="8" t="s">
        <v>93</v>
      </c>
      <c r="E365" s="8"/>
      <c r="F365" s="8" t="n">
        <v>264</v>
      </c>
      <c r="G365" s="8" t="n">
        <v>283</v>
      </c>
      <c r="H365" s="8" t="n">
        <v>156</v>
      </c>
      <c r="I365" s="8" t="n">
        <v>142</v>
      </c>
      <c r="J365" s="8" t="n">
        <v>28</v>
      </c>
      <c r="K365" s="8" t="n">
        <v>49</v>
      </c>
      <c r="L365" s="8" t="n">
        <v>84</v>
      </c>
      <c r="M365" s="8" t="n">
        <v>29</v>
      </c>
      <c r="N365" s="8" t="n">
        <v>0</v>
      </c>
      <c r="O365" s="8" t="n">
        <v>14</v>
      </c>
      <c r="P365" s="8" t="n">
        <v>1049</v>
      </c>
      <c r="Q365" s="8" t="n">
        <v>13</v>
      </c>
      <c r="R365" s="8" t="n">
        <v>1062</v>
      </c>
      <c r="S365" s="8" t="n">
        <v>1191</v>
      </c>
    </row>
    <row r="366" customFormat="false" ht="15" hidden="false" customHeight="false" outlineLevel="0" collapsed="false">
      <c r="A366" s="8" t="n">
        <v>2022</v>
      </c>
      <c r="B366" s="8" t="s">
        <v>139</v>
      </c>
      <c r="C366" s="8" t="s">
        <v>235</v>
      </c>
      <c r="D366" s="8" t="s">
        <v>95</v>
      </c>
      <c r="E366" s="8"/>
      <c r="F366" s="8" t="n">
        <v>244</v>
      </c>
      <c r="G366" s="8" t="n">
        <v>207</v>
      </c>
      <c r="H366" s="8" t="n">
        <v>128</v>
      </c>
      <c r="I366" s="8" t="n">
        <v>112</v>
      </c>
      <c r="J366" s="8" t="n">
        <v>26</v>
      </c>
      <c r="K366" s="8" t="n">
        <v>44</v>
      </c>
      <c r="L366" s="8" t="n">
        <v>73</v>
      </c>
      <c r="M366" s="8" t="n">
        <v>23</v>
      </c>
      <c r="N366" s="8" t="n">
        <v>0</v>
      </c>
      <c r="O366" s="8" t="n">
        <v>7</v>
      </c>
      <c r="P366" s="8" t="n">
        <v>864</v>
      </c>
      <c r="Q366" s="8" t="n">
        <v>22</v>
      </c>
      <c r="R366" s="8" t="n">
        <v>887</v>
      </c>
      <c r="S366" s="8" t="n">
        <v>1005</v>
      </c>
    </row>
    <row r="367" customFormat="false" ht="15" hidden="false" customHeight="false" outlineLevel="0" collapsed="false">
      <c r="A367" s="8" t="n">
        <v>2022</v>
      </c>
      <c r="B367" s="8" t="s">
        <v>139</v>
      </c>
      <c r="C367" s="8" t="s">
        <v>146</v>
      </c>
      <c r="D367" s="8" t="s">
        <v>147</v>
      </c>
      <c r="E367" s="8" t="s">
        <v>218</v>
      </c>
      <c r="F367" s="8" t="n">
        <v>174</v>
      </c>
      <c r="G367" s="8" t="n">
        <v>94</v>
      </c>
      <c r="H367" s="8" t="n">
        <v>110</v>
      </c>
      <c r="I367" s="8" t="n">
        <v>53</v>
      </c>
      <c r="J367" s="8" t="n">
        <v>55</v>
      </c>
      <c r="K367" s="8" t="n">
        <v>33</v>
      </c>
      <c r="L367" s="8" t="n">
        <v>24</v>
      </c>
      <c r="M367" s="8" t="n">
        <v>18</v>
      </c>
      <c r="N367" s="8" t="n">
        <v>0</v>
      </c>
      <c r="O367" s="8" t="n">
        <v>29</v>
      </c>
      <c r="P367" s="8" t="n">
        <v>590</v>
      </c>
      <c r="Q367" s="8" t="n">
        <v>19</v>
      </c>
      <c r="R367" s="8" t="n">
        <v>612</v>
      </c>
      <c r="S367" s="8" t="n">
        <v>0</v>
      </c>
    </row>
    <row r="368" customFormat="false" ht="15" hidden="false" customHeight="false" outlineLevel="0" collapsed="false">
      <c r="A368" s="8" t="n">
        <v>2026</v>
      </c>
      <c r="B368" s="8" t="s">
        <v>138</v>
      </c>
      <c r="C368" s="8" t="s">
        <v>172</v>
      </c>
      <c r="D368" s="8" t="s">
        <v>45</v>
      </c>
      <c r="E368" s="8"/>
      <c r="F368" s="8" t="n">
        <v>249</v>
      </c>
      <c r="G368" s="8" t="n">
        <v>56</v>
      </c>
      <c r="H368" s="8" t="n">
        <v>189</v>
      </c>
      <c r="I368" s="8" t="n">
        <v>541</v>
      </c>
      <c r="J368" s="8" t="n">
        <v>57</v>
      </c>
      <c r="K368" s="8" t="n">
        <v>13</v>
      </c>
      <c r="L368" s="8" t="n">
        <v>13</v>
      </c>
      <c r="M368" s="8" t="n">
        <v>29</v>
      </c>
      <c r="N368" s="8" t="n">
        <v>12</v>
      </c>
      <c r="O368" s="8" t="n">
        <v>2</v>
      </c>
      <c r="P368" s="8" t="n">
        <v>1161</v>
      </c>
      <c r="Q368" s="8" t="n">
        <v>6</v>
      </c>
      <c r="R368" s="8" t="n">
        <v>1169</v>
      </c>
      <c r="S368" s="8" t="n">
        <v>1544</v>
      </c>
    </row>
    <row r="369" customFormat="false" ht="15" hidden="false" customHeight="false" outlineLevel="0" collapsed="false">
      <c r="A369" s="8" t="n">
        <v>2026</v>
      </c>
      <c r="B369" s="8" t="s">
        <v>138</v>
      </c>
      <c r="C369" s="8" t="s">
        <v>174</v>
      </c>
      <c r="D369" s="8" t="s">
        <v>47</v>
      </c>
      <c r="E369" s="8"/>
      <c r="F369" s="8" t="n">
        <v>291</v>
      </c>
      <c r="G369" s="8" t="n">
        <v>47</v>
      </c>
      <c r="H369" s="8" t="n">
        <v>171</v>
      </c>
      <c r="I369" s="8" t="n">
        <v>433</v>
      </c>
      <c r="J369" s="8" t="n">
        <v>96</v>
      </c>
      <c r="K369" s="8" t="n">
        <v>6</v>
      </c>
      <c r="L369" s="8" t="n">
        <v>8</v>
      </c>
      <c r="M369" s="8" t="n">
        <v>51</v>
      </c>
      <c r="N369" s="8" t="n">
        <v>25</v>
      </c>
      <c r="O369" s="8" t="n">
        <v>2</v>
      </c>
      <c r="P369" s="8" t="n">
        <v>1130</v>
      </c>
      <c r="Q369" s="8" t="n">
        <v>10</v>
      </c>
      <c r="R369" s="8" t="n">
        <v>1145</v>
      </c>
      <c r="S369" s="8" t="n">
        <v>1518</v>
      </c>
    </row>
    <row r="370" customFormat="false" ht="15" hidden="false" customHeight="false" outlineLevel="0" collapsed="false">
      <c r="A370" s="8" t="n">
        <v>2026</v>
      </c>
      <c r="B370" s="8" t="s">
        <v>138</v>
      </c>
      <c r="C370" s="8" t="s">
        <v>176</v>
      </c>
      <c r="D370" s="8" t="s">
        <v>49</v>
      </c>
      <c r="E370" s="8"/>
      <c r="F370" s="8" t="n">
        <v>433</v>
      </c>
      <c r="G370" s="8" t="n">
        <v>50</v>
      </c>
      <c r="H370" s="8" t="n">
        <v>155</v>
      </c>
      <c r="I370" s="8" t="n">
        <v>280</v>
      </c>
      <c r="J370" s="8" t="n">
        <v>140</v>
      </c>
      <c r="K370" s="8" t="n">
        <v>12</v>
      </c>
      <c r="L370" s="8" t="n">
        <v>15</v>
      </c>
      <c r="M370" s="8" t="n">
        <v>51</v>
      </c>
      <c r="N370" s="8" t="n">
        <v>13</v>
      </c>
      <c r="O370" s="8" t="n">
        <v>8</v>
      </c>
      <c r="P370" s="8" t="n">
        <v>1157</v>
      </c>
      <c r="Q370" s="8" t="n">
        <v>14</v>
      </c>
      <c r="R370" s="8" t="n">
        <v>1177</v>
      </c>
      <c r="S370" s="8" t="n">
        <v>1754</v>
      </c>
    </row>
    <row r="371" customFormat="false" ht="15" hidden="false" customHeight="false" outlineLevel="0" collapsed="false">
      <c r="A371" s="8" t="n">
        <v>2026</v>
      </c>
      <c r="B371" s="8" t="s">
        <v>138</v>
      </c>
      <c r="C371" s="8" t="s">
        <v>178</v>
      </c>
      <c r="D371" s="8" t="s">
        <v>51</v>
      </c>
      <c r="E371" s="8"/>
      <c r="F371" s="8" t="n">
        <v>322</v>
      </c>
      <c r="G371" s="8" t="n">
        <v>58</v>
      </c>
      <c r="H371" s="8" t="n">
        <v>183</v>
      </c>
      <c r="I371" s="8" t="n">
        <v>411</v>
      </c>
      <c r="J371" s="8" t="n">
        <v>101</v>
      </c>
      <c r="K371" s="8" t="n">
        <v>12</v>
      </c>
      <c r="L371" s="8" t="n">
        <v>16</v>
      </c>
      <c r="M371" s="8" t="n">
        <v>50</v>
      </c>
      <c r="N371" s="8" t="n">
        <v>9</v>
      </c>
      <c r="O371" s="8" t="n">
        <v>1</v>
      </c>
      <c r="P371" s="8" t="n">
        <v>1163</v>
      </c>
      <c r="Q371" s="8" t="n">
        <v>16</v>
      </c>
      <c r="R371" s="8" t="n">
        <v>1184</v>
      </c>
      <c r="S371" s="8" t="n">
        <v>1717</v>
      </c>
    </row>
    <row r="372" customFormat="false" ht="15" hidden="false" customHeight="false" outlineLevel="0" collapsed="false">
      <c r="A372" s="8" t="n">
        <v>2026</v>
      </c>
      <c r="B372" s="8" t="s">
        <v>138</v>
      </c>
      <c r="C372" s="8" t="s">
        <v>180</v>
      </c>
      <c r="D372" s="8" t="s">
        <v>53</v>
      </c>
      <c r="E372" s="8"/>
      <c r="F372" s="8" t="n">
        <v>413</v>
      </c>
      <c r="G372" s="8" t="n">
        <v>52</v>
      </c>
      <c r="H372" s="8" t="n">
        <v>107</v>
      </c>
      <c r="I372" s="8" t="n">
        <v>152</v>
      </c>
      <c r="J372" s="8" t="n">
        <v>182</v>
      </c>
      <c r="K372" s="8" t="n">
        <v>6</v>
      </c>
      <c r="L372" s="8" t="n">
        <v>7</v>
      </c>
      <c r="M372" s="8" t="n">
        <v>47</v>
      </c>
      <c r="N372" s="8" t="n">
        <v>34</v>
      </c>
      <c r="O372" s="8" t="n">
        <v>5</v>
      </c>
      <c r="P372" s="8" t="n">
        <v>1005</v>
      </c>
      <c r="Q372" s="8" t="n">
        <v>11</v>
      </c>
      <c r="R372" s="8" t="n">
        <v>1017</v>
      </c>
      <c r="S372" s="8" t="n">
        <v>1649</v>
      </c>
    </row>
    <row r="373" customFormat="false" ht="15" hidden="false" customHeight="false" outlineLevel="0" collapsed="false">
      <c r="A373" s="8" t="n">
        <v>2026</v>
      </c>
      <c r="B373" s="8" t="s">
        <v>138</v>
      </c>
      <c r="C373" s="8" t="s">
        <v>182</v>
      </c>
      <c r="D373" s="8" t="s">
        <v>55</v>
      </c>
      <c r="E373" s="8"/>
      <c r="F373" s="8" t="n">
        <v>391</v>
      </c>
      <c r="G373" s="8" t="n">
        <v>31</v>
      </c>
      <c r="H373" s="8" t="n">
        <v>117</v>
      </c>
      <c r="I373" s="8" t="n">
        <v>266</v>
      </c>
      <c r="J373" s="8" t="n">
        <v>140</v>
      </c>
      <c r="K373" s="8" t="n">
        <v>5</v>
      </c>
      <c r="L373" s="8" t="n">
        <v>15</v>
      </c>
      <c r="M373" s="8" t="n">
        <v>49</v>
      </c>
      <c r="N373" s="8" t="n">
        <v>37</v>
      </c>
      <c r="O373" s="8" t="n">
        <v>8</v>
      </c>
      <c r="P373" s="8" t="n">
        <v>1059</v>
      </c>
      <c r="Q373" s="8" t="n">
        <v>10</v>
      </c>
      <c r="R373" s="8" t="n">
        <v>1071</v>
      </c>
      <c r="S373" s="8" t="n">
        <v>1795</v>
      </c>
    </row>
    <row r="374" customFormat="false" ht="15" hidden="false" customHeight="false" outlineLevel="0" collapsed="false">
      <c r="A374" s="8" t="n">
        <v>2026</v>
      </c>
      <c r="B374" s="8" t="s">
        <v>138</v>
      </c>
      <c r="C374" s="8" t="s">
        <v>184</v>
      </c>
      <c r="D374" s="8" t="s">
        <v>57</v>
      </c>
      <c r="E374" s="8"/>
      <c r="F374" s="8" t="n">
        <v>210</v>
      </c>
      <c r="G374" s="8" t="n">
        <v>28</v>
      </c>
      <c r="H374" s="8" t="n">
        <v>113</v>
      </c>
      <c r="I374" s="8" t="n">
        <v>397</v>
      </c>
      <c r="J374" s="8" t="n">
        <v>48</v>
      </c>
      <c r="K374" s="8" t="n">
        <v>16</v>
      </c>
      <c r="L374" s="8" t="n">
        <v>9</v>
      </c>
      <c r="M374" s="8" t="n">
        <v>38</v>
      </c>
      <c r="N374" s="8" t="n">
        <v>3</v>
      </c>
      <c r="O374" s="8" t="n">
        <v>2</v>
      </c>
      <c r="P374" s="8" t="n">
        <v>864</v>
      </c>
      <c r="Q374" s="8" t="n">
        <v>9</v>
      </c>
      <c r="R374" s="8" t="n">
        <v>874</v>
      </c>
      <c r="S374" s="8" t="n">
        <v>1138</v>
      </c>
    </row>
    <row r="375" customFormat="false" ht="15" hidden="false" customHeight="false" outlineLevel="0" collapsed="false">
      <c r="A375" s="8" t="n">
        <v>2026</v>
      </c>
      <c r="B375" s="8" t="s">
        <v>138</v>
      </c>
      <c r="C375" s="8" t="s">
        <v>186</v>
      </c>
      <c r="D375" s="8" t="s">
        <v>59</v>
      </c>
      <c r="E375" s="8"/>
      <c r="F375" s="8" t="n">
        <v>369</v>
      </c>
      <c r="G375" s="8" t="n">
        <v>42</v>
      </c>
      <c r="H375" s="8" t="n">
        <v>188</v>
      </c>
      <c r="I375" s="8" t="n">
        <v>326</v>
      </c>
      <c r="J375" s="8" t="n">
        <v>91</v>
      </c>
      <c r="K375" s="8" t="n">
        <v>15</v>
      </c>
      <c r="L375" s="8" t="n">
        <v>16</v>
      </c>
      <c r="M375" s="8" t="n">
        <v>50</v>
      </c>
      <c r="N375" s="8" t="n">
        <v>17</v>
      </c>
      <c r="O375" s="8" t="n">
        <v>4</v>
      </c>
      <c r="P375" s="8" t="n">
        <v>1118</v>
      </c>
      <c r="Q375" s="8" t="n">
        <v>21</v>
      </c>
      <c r="R375" s="8" t="n">
        <v>1141</v>
      </c>
      <c r="S375" s="8" t="n">
        <v>1725</v>
      </c>
    </row>
    <row r="376" customFormat="false" ht="15" hidden="false" customHeight="false" outlineLevel="0" collapsed="false">
      <c r="A376" s="8" t="n">
        <v>2026</v>
      </c>
      <c r="B376" s="8" t="s">
        <v>138</v>
      </c>
      <c r="C376" s="8" t="s">
        <v>188</v>
      </c>
      <c r="D376" s="8" t="s">
        <v>61</v>
      </c>
      <c r="E376" s="8"/>
      <c r="F376" s="8" t="n">
        <v>308</v>
      </c>
      <c r="G376" s="8" t="n">
        <v>53</v>
      </c>
      <c r="H376" s="8" t="n">
        <v>190</v>
      </c>
      <c r="I376" s="8" t="n">
        <v>423</v>
      </c>
      <c r="J376" s="8" t="n">
        <v>64</v>
      </c>
      <c r="K376" s="8" t="n">
        <v>9</v>
      </c>
      <c r="L376" s="8" t="n">
        <v>10</v>
      </c>
      <c r="M376" s="8" t="n">
        <v>42</v>
      </c>
      <c r="N376" s="8" t="n">
        <v>11</v>
      </c>
      <c r="O376" s="8" t="n">
        <v>4</v>
      </c>
      <c r="P376" s="8" t="n">
        <v>1114</v>
      </c>
      <c r="Q376" s="8" t="n">
        <v>13</v>
      </c>
      <c r="R376" s="8" t="n">
        <v>1133</v>
      </c>
      <c r="S376" s="8" t="n">
        <v>1510</v>
      </c>
    </row>
    <row r="377" customFormat="false" ht="15" hidden="false" customHeight="false" outlineLevel="0" collapsed="false">
      <c r="A377" s="8" t="n">
        <v>2026</v>
      </c>
      <c r="B377" s="8" t="s">
        <v>138</v>
      </c>
      <c r="C377" s="8" t="s">
        <v>190</v>
      </c>
      <c r="D377" s="8" t="s">
        <v>63</v>
      </c>
      <c r="E377" s="8"/>
      <c r="F377" s="8" t="n">
        <v>255</v>
      </c>
      <c r="G377" s="8" t="n">
        <v>33</v>
      </c>
      <c r="H377" s="8" t="n">
        <v>184</v>
      </c>
      <c r="I377" s="8" t="n">
        <v>228</v>
      </c>
      <c r="J377" s="8" t="n">
        <v>45</v>
      </c>
      <c r="K377" s="8" t="n">
        <v>2</v>
      </c>
      <c r="L377" s="8" t="n">
        <v>5</v>
      </c>
      <c r="M377" s="8" t="n">
        <v>25</v>
      </c>
      <c r="N377" s="8" t="n">
        <v>6</v>
      </c>
      <c r="O377" s="8" t="n">
        <v>4</v>
      </c>
      <c r="P377" s="8" t="n">
        <v>787</v>
      </c>
      <c r="Q377" s="8" t="n">
        <v>7</v>
      </c>
      <c r="R377" s="8" t="n">
        <v>795</v>
      </c>
      <c r="S377" s="8" t="n">
        <v>1040</v>
      </c>
    </row>
    <row r="378" customFormat="false" ht="15" hidden="false" customHeight="false" outlineLevel="0" collapsed="false">
      <c r="A378" s="8" t="n">
        <v>2026</v>
      </c>
      <c r="B378" s="8" t="s">
        <v>138</v>
      </c>
      <c r="C378" s="8" t="s">
        <v>192</v>
      </c>
      <c r="D378" s="8" t="s">
        <v>65</v>
      </c>
      <c r="E378" s="8"/>
      <c r="F378" s="8" t="n">
        <v>338</v>
      </c>
      <c r="G378" s="8" t="n">
        <v>25</v>
      </c>
      <c r="H378" s="8" t="n">
        <v>87</v>
      </c>
      <c r="I378" s="8" t="n">
        <v>343</v>
      </c>
      <c r="J378" s="8" t="n">
        <v>55</v>
      </c>
      <c r="K378" s="8" t="n">
        <v>3</v>
      </c>
      <c r="L378" s="8" t="n">
        <v>7</v>
      </c>
      <c r="M378" s="8" t="n">
        <v>31</v>
      </c>
      <c r="N378" s="8" t="n">
        <v>11</v>
      </c>
      <c r="O378" s="8" t="n">
        <v>1</v>
      </c>
      <c r="P378" s="8" t="n">
        <v>901</v>
      </c>
      <c r="Q378" s="8" t="n">
        <v>5</v>
      </c>
      <c r="R378" s="8" t="n">
        <v>906</v>
      </c>
      <c r="S378" s="8" t="n">
        <v>1161</v>
      </c>
    </row>
    <row r="379" customFormat="false" ht="15" hidden="false" customHeight="false" outlineLevel="0" collapsed="false">
      <c r="A379" s="8" t="n">
        <v>2026</v>
      </c>
      <c r="B379" s="8" t="s">
        <v>138</v>
      </c>
      <c r="C379" s="8" t="s">
        <v>194</v>
      </c>
      <c r="D379" s="8" t="s">
        <v>67</v>
      </c>
      <c r="E379" s="8"/>
      <c r="F379" s="8" t="n">
        <v>427</v>
      </c>
      <c r="G379" s="8" t="n">
        <v>27</v>
      </c>
      <c r="H379" s="8" t="n">
        <v>120</v>
      </c>
      <c r="I379" s="8" t="n">
        <v>104</v>
      </c>
      <c r="J379" s="8" t="n">
        <v>213</v>
      </c>
      <c r="K379" s="8" t="n">
        <v>7</v>
      </c>
      <c r="L379" s="8" t="n">
        <v>4</v>
      </c>
      <c r="M379" s="8" t="n">
        <v>31</v>
      </c>
      <c r="N379" s="8" t="n">
        <v>117</v>
      </c>
      <c r="O379" s="8" t="n">
        <v>4</v>
      </c>
      <c r="P379" s="8" t="n">
        <v>1054</v>
      </c>
      <c r="Q379" s="8" t="n">
        <v>2</v>
      </c>
      <c r="R379" s="8" t="n">
        <v>1058</v>
      </c>
      <c r="S379" s="8" t="n">
        <v>1742</v>
      </c>
    </row>
    <row r="380" customFormat="false" ht="15" hidden="false" customHeight="false" outlineLevel="0" collapsed="false">
      <c r="A380" s="8" t="n">
        <v>2026</v>
      </c>
      <c r="B380" s="8" t="s">
        <v>138</v>
      </c>
      <c r="C380" s="8" t="s">
        <v>196</v>
      </c>
      <c r="D380" s="8" t="s">
        <v>69</v>
      </c>
      <c r="E380" s="8"/>
      <c r="F380" s="8" t="n">
        <v>344</v>
      </c>
      <c r="G380" s="8" t="n">
        <v>37</v>
      </c>
      <c r="H380" s="8" t="n">
        <v>108</v>
      </c>
      <c r="I380" s="8" t="n">
        <v>322</v>
      </c>
      <c r="J380" s="8" t="n">
        <v>159</v>
      </c>
      <c r="K380" s="8" t="n">
        <v>7</v>
      </c>
      <c r="L380" s="8" t="n">
        <v>4</v>
      </c>
      <c r="M380" s="8" t="n">
        <v>51</v>
      </c>
      <c r="N380" s="8" t="n">
        <v>57</v>
      </c>
      <c r="O380" s="8" t="n">
        <v>3</v>
      </c>
      <c r="P380" s="8" t="n">
        <v>1092</v>
      </c>
      <c r="Q380" s="8" t="n">
        <v>13</v>
      </c>
      <c r="R380" s="8" t="n">
        <v>1107</v>
      </c>
      <c r="S380" s="8" t="n">
        <v>1652</v>
      </c>
    </row>
    <row r="381" customFormat="false" ht="15" hidden="false" customHeight="false" outlineLevel="0" collapsed="false">
      <c r="A381" s="8" t="n">
        <v>2026</v>
      </c>
      <c r="B381" s="8" t="s">
        <v>138</v>
      </c>
      <c r="C381" s="8" t="s">
        <v>198</v>
      </c>
      <c r="D381" s="8" t="s">
        <v>71</v>
      </c>
      <c r="E381" s="8"/>
      <c r="F381" s="8" t="n">
        <v>415</v>
      </c>
      <c r="G381" s="8" t="n">
        <v>47</v>
      </c>
      <c r="H381" s="8" t="n">
        <v>154</v>
      </c>
      <c r="I381" s="8" t="n">
        <v>526</v>
      </c>
      <c r="J381" s="8" t="n">
        <v>43</v>
      </c>
      <c r="K381" s="8" t="n">
        <v>6</v>
      </c>
      <c r="L381" s="8" t="n">
        <v>14</v>
      </c>
      <c r="M381" s="8" t="n">
        <v>28</v>
      </c>
      <c r="N381" s="8" t="n">
        <v>5</v>
      </c>
      <c r="O381" s="8" t="n">
        <v>3</v>
      </c>
      <c r="P381" s="8" t="n">
        <v>1241</v>
      </c>
      <c r="Q381" s="8" t="n">
        <v>11</v>
      </c>
      <c r="R381" s="8" t="n">
        <v>1252</v>
      </c>
      <c r="S381" s="8" t="n">
        <v>1468</v>
      </c>
    </row>
    <row r="382" customFormat="false" ht="15" hidden="false" customHeight="false" outlineLevel="0" collapsed="false">
      <c r="A382" s="8" t="n">
        <v>2026</v>
      </c>
      <c r="B382" s="8" t="s">
        <v>138</v>
      </c>
      <c r="C382" s="8" t="s">
        <v>200</v>
      </c>
      <c r="D382" s="8" t="s">
        <v>73</v>
      </c>
      <c r="E382" s="8"/>
      <c r="F382" s="8" t="n">
        <v>316</v>
      </c>
      <c r="G382" s="8" t="n">
        <v>52</v>
      </c>
      <c r="H382" s="8" t="n">
        <v>146</v>
      </c>
      <c r="I382" s="8" t="n">
        <v>789</v>
      </c>
      <c r="J382" s="8" t="n">
        <v>13</v>
      </c>
      <c r="K382" s="8" t="n">
        <v>7</v>
      </c>
      <c r="L382" s="8" t="n">
        <v>7</v>
      </c>
      <c r="M382" s="8" t="n">
        <v>35</v>
      </c>
      <c r="N382" s="8" t="n">
        <v>4</v>
      </c>
      <c r="O382" s="8" t="n">
        <v>4</v>
      </c>
      <c r="P382" s="8" t="n">
        <v>1373</v>
      </c>
      <c r="Q382" s="8" t="n">
        <v>11</v>
      </c>
      <c r="R382" s="8" t="n">
        <v>1385</v>
      </c>
      <c r="S382" s="8" t="n">
        <v>1565</v>
      </c>
    </row>
    <row r="383" customFormat="false" ht="15" hidden="false" customHeight="false" outlineLevel="0" collapsed="false">
      <c r="A383" s="8" t="n">
        <v>2026</v>
      </c>
      <c r="B383" s="8" t="s">
        <v>138</v>
      </c>
      <c r="C383" s="8" t="s">
        <v>202</v>
      </c>
      <c r="D383" s="8" t="s">
        <v>75</v>
      </c>
      <c r="E383" s="8"/>
      <c r="F383" s="8" t="n">
        <v>180</v>
      </c>
      <c r="G383" s="8" t="n">
        <v>84</v>
      </c>
      <c r="H383" s="8" t="n">
        <v>82</v>
      </c>
      <c r="I383" s="8" t="n">
        <v>1081</v>
      </c>
      <c r="J383" s="8" t="n">
        <v>11</v>
      </c>
      <c r="K383" s="8" t="n">
        <v>16</v>
      </c>
      <c r="L383" s="8" t="n">
        <v>1</v>
      </c>
      <c r="M383" s="8" t="n">
        <v>53</v>
      </c>
      <c r="N383" s="8" t="n">
        <v>0</v>
      </c>
      <c r="O383" s="8" t="n">
        <v>4</v>
      </c>
      <c r="P383" s="8" t="n">
        <v>1512</v>
      </c>
      <c r="Q383" s="8" t="n">
        <v>7</v>
      </c>
      <c r="R383" s="8" t="n">
        <v>1519</v>
      </c>
      <c r="S383" s="8" t="n">
        <v>1680</v>
      </c>
    </row>
    <row r="384" customFormat="false" ht="15" hidden="false" customHeight="false" outlineLevel="0" collapsed="false">
      <c r="A384" s="8" t="n">
        <v>2026</v>
      </c>
      <c r="B384" s="8" t="s">
        <v>138</v>
      </c>
      <c r="C384" s="8" t="s">
        <v>232</v>
      </c>
      <c r="D384" s="8" t="s">
        <v>77</v>
      </c>
      <c r="E384" s="8"/>
      <c r="F384" s="8" t="n">
        <v>117</v>
      </c>
      <c r="G384" s="8" t="n">
        <v>45</v>
      </c>
      <c r="H384" s="8" t="n">
        <v>35</v>
      </c>
      <c r="I384" s="8" t="n">
        <v>693</v>
      </c>
      <c r="J384" s="8" t="n">
        <v>8</v>
      </c>
      <c r="K384" s="8" t="n">
        <v>5</v>
      </c>
      <c r="L384" s="8" t="n">
        <v>8</v>
      </c>
      <c r="M384" s="8" t="n">
        <v>34</v>
      </c>
      <c r="N384" s="8" t="n">
        <v>3</v>
      </c>
      <c r="O384" s="8" t="n">
        <v>0</v>
      </c>
      <c r="P384" s="8" t="n">
        <v>948</v>
      </c>
      <c r="Q384" s="8" t="n">
        <v>6</v>
      </c>
      <c r="R384" s="8" t="n">
        <v>954</v>
      </c>
      <c r="S384" s="8" t="n">
        <v>1035</v>
      </c>
    </row>
    <row r="385" customFormat="false" ht="15" hidden="false" customHeight="false" outlineLevel="0" collapsed="false">
      <c r="A385" s="8" t="n">
        <v>2026</v>
      </c>
      <c r="B385" s="8" t="s">
        <v>138</v>
      </c>
      <c r="C385" s="8" t="s">
        <v>233</v>
      </c>
      <c r="D385" s="8" t="s">
        <v>79</v>
      </c>
      <c r="E385" s="8"/>
      <c r="F385" s="8" t="n">
        <v>324</v>
      </c>
      <c r="G385" s="8" t="n">
        <v>30</v>
      </c>
      <c r="H385" s="8" t="n">
        <v>131</v>
      </c>
      <c r="I385" s="8" t="n">
        <v>213</v>
      </c>
      <c r="J385" s="8" t="n">
        <v>185</v>
      </c>
      <c r="K385" s="8" t="n">
        <v>3</v>
      </c>
      <c r="L385" s="8" t="n">
        <v>5</v>
      </c>
      <c r="M385" s="8" t="n">
        <v>43</v>
      </c>
      <c r="N385" s="8" t="n">
        <v>25</v>
      </c>
      <c r="O385" s="8" t="n">
        <v>5</v>
      </c>
      <c r="P385" s="8" t="n">
        <v>964</v>
      </c>
      <c r="Q385" s="8" t="n">
        <v>4</v>
      </c>
      <c r="R385" s="8" t="n">
        <v>974</v>
      </c>
      <c r="S385" s="8" t="n">
        <v>1671</v>
      </c>
    </row>
    <row r="386" customFormat="false" ht="15" hidden="false" customHeight="false" outlineLevel="0" collapsed="false">
      <c r="A386" s="8" t="n">
        <v>2026</v>
      </c>
      <c r="B386" s="8" t="s">
        <v>138</v>
      </c>
      <c r="C386" s="8" t="s">
        <v>204</v>
      </c>
      <c r="D386" s="8" t="s">
        <v>81</v>
      </c>
      <c r="E386" s="8"/>
      <c r="F386" s="8" t="n">
        <v>54</v>
      </c>
      <c r="G386" s="8" t="n">
        <v>41</v>
      </c>
      <c r="H386" s="8" t="n">
        <v>29</v>
      </c>
      <c r="I386" s="8" t="n">
        <v>106</v>
      </c>
      <c r="J386" s="8" t="n">
        <v>7</v>
      </c>
      <c r="K386" s="8" t="n">
        <v>11</v>
      </c>
      <c r="L386" s="8" t="n">
        <v>3</v>
      </c>
      <c r="M386" s="8" t="n">
        <v>26</v>
      </c>
      <c r="N386" s="8" t="n">
        <v>0</v>
      </c>
      <c r="O386" s="8" t="n">
        <v>1</v>
      </c>
      <c r="P386" s="8" t="n">
        <v>278</v>
      </c>
      <c r="Q386" s="8" t="n">
        <v>3</v>
      </c>
      <c r="R386" s="8" t="n">
        <v>281</v>
      </c>
      <c r="S386" s="8" t="n">
        <v>314</v>
      </c>
    </row>
    <row r="387" customFormat="false" ht="15" hidden="false" customHeight="false" outlineLevel="0" collapsed="false">
      <c r="A387" s="8" t="n">
        <v>2026</v>
      </c>
      <c r="B387" s="8" t="s">
        <v>138</v>
      </c>
      <c r="C387" s="8" t="s">
        <v>206</v>
      </c>
      <c r="D387" s="8" t="s">
        <v>83</v>
      </c>
      <c r="E387" s="8"/>
      <c r="F387" s="8" t="n">
        <v>143</v>
      </c>
      <c r="G387" s="8" t="n">
        <v>113</v>
      </c>
      <c r="H387" s="8" t="n">
        <v>238</v>
      </c>
      <c r="I387" s="8" t="n">
        <v>437</v>
      </c>
      <c r="J387" s="8" t="n">
        <v>39</v>
      </c>
      <c r="K387" s="8" t="n">
        <v>33</v>
      </c>
      <c r="L387" s="8" t="n">
        <v>23</v>
      </c>
      <c r="M387" s="8" t="n">
        <v>53</v>
      </c>
      <c r="N387" s="8" t="n">
        <v>2</v>
      </c>
      <c r="O387" s="8" t="n">
        <v>3</v>
      </c>
      <c r="P387" s="8" t="n">
        <v>1084</v>
      </c>
      <c r="Q387" s="8" t="n">
        <v>12</v>
      </c>
      <c r="R387" s="8" t="n">
        <v>1099</v>
      </c>
      <c r="S387" s="8" t="n">
        <v>1351</v>
      </c>
    </row>
    <row r="388" customFormat="false" ht="15" hidden="false" customHeight="false" outlineLevel="0" collapsed="false">
      <c r="A388" s="8" t="n">
        <v>2026</v>
      </c>
      <c r="B388" s="8" t="s">
        <v>138</v>
      </c>
      <c r="C388" s="8" t="s">
        <v>230</v>
      </c>
      <c r="D388" s="8" t="s">
        <v>85</v>
      </c>
      <c r="E388" s="8"/>
      <c r="F388" s="8" t="n">
        <v>269</v>
      </c>
      <c r="G388" s="8" t="n">
        <v>148</v>
      </c>
      <c r="H388" s="8" t="n">
        <v>277</v>
      </c>
      <c r="I388" s="8" t="n">
        <v>620</v>
      </c>
      <c r="J388" s="8" t="n">
        <v>34</v>
      </c>
      <c r="K388" s="8" t="n">
        <v>12</v>
      </c>
      <c r="L388" s="8" t="n">
        <v>18</v>
      </c>
      <c r="M388" s="8" t="n">
        <v>44</v>
      </c>
      <c r="N388" s="8" t="n">
        <v>3</v>
      </c>
      <c r="O388" s="8" t="n">
        <v>3</v>
      </c>
      <c r="P388" s="8" t="n">
        <v>1428</v>
      </c>
      <c r="Q388" s="8" t="n">
        <v>9</v>
      </c>
      <c r="R388" s="8" t="n">
        <v>1439</v>
      </c>
      <c r="S388" s="8" t="n">
        <v>1758</v>
      </c>
    </row>
    <row r="389" customFormat="false" ht="15" hidden="false" customHeight="false" outlineLevel="0" collapsed="false">
      <c r="A389" s="8" t="n">
        <v>2026</v>
      </c>
      <c r="B389" s="8" t="s">
        <v>138</v>
      </c>
      <c r="C389" s="8" t="s">
        <v>208</v>
      </c>
      <c r="D389" s="8" t="s">
        <v>87</v>
      </c>
      <c r="E389" s="8"/>
      <c r="F389" s="8" t="n">
        <v>264</v>
      </c>
      <c r="G389" s="8" t="n">
        <v>120</v>
      </c>
      <c r="H389" s="8" t="n">
        <v>234</v>
      </c>
      <c r="I389" s="8" t="n">
        <v>671</v>
      </c>
      <c r="J389" s="8" t="n">
        <v>25</v>
      </c>
      <c r="K389" s="8" t="n">
        <v>24</v>
      </c>
      <c r="L389" s="8" t="n">
        <v>13</v>
      </c>
      <c r="M389" s="8" t="n">
        <v>32</v>
      </c>
      <c r="N389" s="8" t="n">
        <v>7</v>
      </c>
      <c r="O389" s="8" t="n">
        <v>8</v>
      </c>
      <c r="P389" s="8" t="n">
        <v>1398</v>
      </c>
      <c r="Q389" s="8" t="n">
        <v>19</v>
      </c>
      <c r="R389" s="8" t="n">
        <v>1422</v>
      </c>
      <c r="S389" s="8" t="n">
        <v>1630</v>
      </c>
    </row>
    <row r="390" customFormat="false" ht="15" hidden="false" customHeight="false" outlineLevel="0" collapsed="false">
      <c r="A390" s="8" t="n">
        <v>2026</v>
      </c>
      <c r="B390" s="8" t="s">
        <v>138</v>
      </c>
      <c r="C390" s="8" t="s">
        <v>210</v>
      </c>
      <c r="D390" s="8" t="s">
        <v>89</v>
      </c>
      <c r="E390" s="8"/>
      <c r="F390" s="8" t="n">
        <v>242</v>
      </c>
      <c r="G390" s="8" t="n">
        <v>156</v>
      </c>
      <c r="H390" s="8" t="n">
        <v>289</v>
      </c>
      <c r="I390" s="8" t="n">
        <v>564</v>
      </c>
      <c r="J390" s="8" t="n">
        <v>44</v>
      </c>
      <c r="K390" s="8" t="n">
        <v>22</v>
      </c>
      <c r="L390" s="8" t="n">
        <v>29</v>
      </c>
      <c r="M390" s="8" t="n">
        <v>45</v>
      </c>
      <c r="N390" s="8" t="n">
        <v>7</v>
      </c>
      <c r="O390" s="8" t="n">
        <v>5</v>
      </c>
      <c r="P390" s="8" t="n">
        <v>1403</v>
      </c>
      <c r="Q390" s="8" t="n">
        <v>18</v>
      </c>
      <c r="R390" s="8" t="n">
        <v>1422</v>
      </c>
      <c r="S390" s="8" t="n">
        <v>1695</v>
      </c>
    </row>
    <row r="391" customFormat="false" ht="15" hidden="false" customHeight="false" outlineLevel="0" collapsed="false">
      <c r="A391" s="8" t="n">
        <v>2026</v>
      </c>
      <c r="B391" s="8" t="s">
        <v>138</v>
      </c>
      <c r="C391" s="8" t="s">
        <v>214</v>
      </c>
      <c r="D391" s="8" t="s">
        <v>91</v>
      </c>
      <c r="E391" s="8"/>
      <c r="F391" s="8" t="n">
        <v>160</v>
      </c>
      <c r="G391" s="8" t="n">
        <v>64</v>
      </c>
      <c r="H391" s="8" t="n">
        <v>165</v>
      </c>
      <c r="I391" s="8" t="n">
        <v>307</v>
      </c>
      <c r="J391" s="8" t="n">
        <v>34</v>
      </c>
      <c r="K391" s="8" t="n">
        <v>24</v>
      </c>
      <c r="L391" s="8" t="n">
        <v>7</v>
      </c>
      <c r="M391" s="8" t="n">
        <v>20</v>
      </c>
      <c r="N391" s="8" t="n">
        <v>18</v>
      </c>
      <c r="O391" s="8" t="n">
        <v>6</v>
      </c>
      <c r="P391" s="8" t="n">
        <v>805</v>
      </c>
      <c r="Q391" s="8" t="n">
        <v>9</v>
      </c>
      <c r="R391" s="8" t="n">
        <v>816</v>
      </c>
      <c r="S391" s="8" t="n">
        <v>981</v>
      </c>
    </row>
    <row r="392" customFormat="false" ht="15" hidden="false" customHeight="false" outlineLevel="0" collapsed="false">
      <c r="A392" s="8" t="n">
        <v>2026</v>
      </c>
      <c r="B392" s="8" t="s">
        <v>138</v>
      </c>
      <c r="C392" s="8" t="s">
        <v>234</v>
      </c>
      <c r="D392" s="8" t="s">
        <v>93</v>
      </c>
      <c r="E392" s="8"/>
      <c r="F392" s="8" t="n">
        <v>164</v>
      </c>
      <c r="G392" s="8" t="n">
        <v>137</v>
      </c>
      <c r="H392" s="8" t="n">
        <v>129</v>
      </c>
      <c r="I392" s="8" t="n">
        <v>532</v>
      </c>
      <c r="J392" s="8" t="n">
        <v>12</v>
      </c>
      <c r="K392" s="8" t="n">
        <v>42</v>
      </c>
      <c r="L392" s="8" t="n">
        <v>17</v>
      </c>
      <c r="M392" s="8" t="n">
        <v>44</v>
      </c>
      <c r="N392" s="8" t="n">
        <v>0</v>
      </c>
      <c r="O392" s="8" t="n">
        <v>13</v>
      </c>
      <c r="P392" s="8" t="n">
        <v>1090</v>
      </c>
      <c r="Q392" s="8" t="n">
        <v>15</v>
      </c>
      <c r="R392" s="8" t="n">
        <v>1105</v>
      </c>
      <c r="S392" s="8" t="n">
        <v>1258</v>
      </c>
    </row>
    <row r="393" customFormat="false" ht="15" hidden="false" customHeight="false" outlineLevel="0" collapsed="false">
      <c r="A393" s="8" t="n">
        <v>2026</v>
      </c>
      <c r="B393" s="8" t="s">
        <v>138</v>
      </c>
      <c r="C393" s="8" t="s">
        <v>235</v>
      </c>
      <c r="D393" s="8" t="s">
        <v>95</v>
      </c>
      <c r="E393" s="8"/>
      <c r="F393" s="8" t="n">
        <v>134</v>
      </c>
      <c r="G393" s="8" t="n">
        <v>92</v>
      </c>
      <c r="H393" s="8" t="n">
        <v>108</v>
      </c>
      <c r="I393" s="8" t="n">
        <v>456</v>
      </c>
      <c r="J393" s="8" t="n">
        <v>14</v>
      </c>
      <c r="K393" s="8" t="n">
        <v>26</v>
      </c>
      <c r="L393" s="8" t="n">
        <v>15</v>
      </c>
      <c r="M393" s="8" t="n">
        <v>29</v>
      </c>
      <c r="N393" s="8" t="n">
        <v>2</v>
      </c>
      <c r="O393" s="8" t="n">
        <v>0</v>
      </c>
      <c r="P393" s="8" t="n">
        <v>876</v>
      </c>
      <c r="Q393" s="8" t="n">
        <v>8</v>
      </c>
      <c r="R393" s="8" t="n">
        <v>885</v>
      </c>
      <c r="S393" s="8" t="n">
        <v>1001</v>
      </c>
    </row>
    <row r="394" customFormat="false" ht="15" hidden="false" customHeight="false" outlineLevel="0" collapsed="false">
      <c r="A394" s="8" t="n">
        <v>2026</v>
      </c>
      <c r="B394" s="8" t="s">
        <v>138</v>
      </c>
      <c r="C394" s="8" t="s">
        <v>146</v>
      </c>
      <c r="D394" s="8" t="s">
        <v>147</v>
      </c>
      <c r="E394" s="8" t="s">
        <v>218</v>
      </c>
      <c r="F394" s="8" t="n">
        <v>204</v>
      </c>
      <c r="G394" s="8" t="n">
        <v>68</v>
      </c>
      <c r="H394" s="8" t="n">
        <v>112</v>
      </c>
      <c r="I394" s="8" t="n">
        <v>265</v>
      </c>
      <c r="J394" s="8" t="n">
        <v>69</v>
      </c>
      <c r="K394" s="8" t="n">
        <v>13</v>
      </c>
      <c r="L394" s="8" t="n">
        <v>11</v>
      </c>
      <c r="M394" s="8" t="n">
        <v>35</v>
      </c>
      <c r="N394" s="8" t="n">
        <v>7</v>
      </c>
      <c r="O394" s="8" t="n">
        <v>3</v>
      </c>
      <c r="P394" s="8" t="n">
        <v>787</v>
      </c>
      <c r="Q394" s="8" t="n">
        <v>14</v>
      </c>
      <c r="R394" s="8"/>
      <c r="S394" s="8" t="n">
        <v>0</v>
      </c>
    </row>
    <row r="395" customFormat="false" ht="15" hidden="false" customHeight="false" outlineLevel="0" collapsed="false">
      <c r="A395" s="8" t="n">
        <v>2026</v>
      </c>
      <c r="B395" s="8" t="s">
        <v>140</v>
      </c>
      <c r="C395" s="8" t="s">
        <v>172</v>
      </c>
      <c r="D395" s="8" t="s">
        <v>45</v>
      </c>
      <c r="E395" s="8"/>
      <c r="F395" s="8" t="n">
        <v>317</v>
      </c>
      <c r="G395" s="8" t="n">
        <v>185</v>
      </c>
      <c r="H395" s="8" t="n">
        <v>317</v>
      </c>
      <c r="I395" s="8" t="n">
        <v>120</v>
      </c>
      <c r="J395" s="8" t="n">
        <v>71</v>
      </c>
      <c r="K395" s="8" t="n">
        <v>41</v>
      </c>
      <c r="L395" s="8" t="n">
        <v>42</v>
      </c>
      <c r="M395" s="8" t="n">
        <v>30</v>
      </c>
      <c r="N395" s="8" t="n">
        <v>0</v>
      </c>
      <c r="O395" s="8" t="n">
        <v>13</v>
      </c>
      <c r="P395" s="8" t="n">
        <v>1136</v>
      </c>
      <c r="Q395" s="8" t="n">
        <v>15</v>
      </c>
      <c r="R395" s="8" t="n">
        <v>1151</v>
      </c>
      <c r="S395" s="8" t="n">
        <v>1524</v>
      </c>
    </row>
    <row r="396" customFormat="false" ht="15" hidden="false" customHeight="false" outlineLevel="0" collapsed="false">
      <c r="A396" s="8" t="n">
        <v>2026</v>
      </c>
      <c r="B396" s="8" t="s">
        <v>140</v>
      </c>
      <c r="C396" s="8" t="s">
        <v>174</v>
      </c>
      <c r="D396" s="8" t="s">
        <v>47</v>
      </c>
      <c r="E396" s="8"/>
      <c r="F396" s="8" t="n">
        <v>332</v>
      </c>
      <c r="G396" s="8" t="n">
        <v>131</v>
      </c>
      <c r="H396" s="8" t="n">
        <v>282</v>
      </c>
      <c r="I396" s="8" t="n">
        <v>101</v>
      </c>
      <c r="J396" s="8" t="n">
        <v>131</v>
      </c>
      <c r="K396" s="8" t="n">
        <v>37</v>
      </c>
      <c r="L396" s="8" t="n">
        <v>34</v>
      </c>
      <c r="M396" s="8" t="n">
        <v>50</v>
      </c>
      <c r="N396" s="8" t="n">
        <v>0</v>
      </c>
      <c r="O396" s="8" t="n">
        <v>11</v>
      </c>
      <c r="P396" s="8" t="n">
        <v>1109</v>
      </c>
      <c r="Q396" s="8" t="n">
        <v>9</v>
      </c>
      <c r="R396" s="8" t="n">
        <v>1121</v>
      </c>
      <c r="S396" s="8" t="n">
        <v>1479</v>
      </c>
    </row>
    <row r="397" customFormat="false" ht="15" hidden="false" customHeight="false" outlineLevel="0" collapsed="false">
      <c r="A397" s="8" t="n">
        <v>2026</v>
      </c>
      <c r="B397" s="8" t="s">
        <v>140</v>
      </c>
      <c r="C397" s="8" t="s">
        <v>176</v>
      </c>
      <c r="D397" s="8" t="s">
        <v>49</v>
      </c>
      <c r="E397" s="8"/>
      <c r="F397" s="8" t="n">
        <v>415</v>
      </c>
      <c r="G397" s="8" t="n">
        <v>110</v>
      </c>
      <c r="H397" s="8" t="n">
        <v>227</v>
      </c>
      <c r="I397" s="8" t="n">
        <v>61</v>
      </c>
      <c r="J397" s="8" t="n">
        <v>171</v>
      </c>
      <c r="K397" s="8" t="n">
        <v>22</v>
      </c>
      <c r="L397" s="8" t="n">
        <v>21</v>
      </c>
      <c r="M397" s="8" t="n">
        <v>52</v>
      </c>
      <c r="N397" s="8" t="n">
        <v>0</v>
      </c>
      <c r="O397" s="8" t="n">
        <v>18</v>
      </c>
      <c r="P397" s="8" t="n">
        <v>1097</v>
      </c>
      <c r="Q397" s="8" t="n">
        <v>8</v>
      </c>
      <c r="R397" s="8" t="n">
        <v>1108</v>
      </c>
      <c r="S397" s="8" t="n">
        <v>1625</v>
      </c>
    </row>
    <row r="398" customFormat="false" ht="15" hidden="false" customHeight="false" outlineLevel="0" collapsed="false">
      <c r="A398" s="8" t="n">
        <v>2026</v>
      </c>
      <c r="B398" s="8" t="s">
        <v>140</v>
      </c>
      <c r="C398" s="8" t="s">
        <v>178</v>
      </c>
      <c r="D398" s="8" t="s">
        <v>51</v>
      </c>
      <c r="E398" s="8"/>
      <c r="F398" s="8" t="n">
        <v>370</v>
      </c>
      <c r="G398" s="8" t="n">
        <v>159</v>
      </c>
      <c r="H398" s="8" t="n">
        <v>269</v>
      </c>
      <c r="I398" s="8" t="n">
        <v>83</v>
      </c>
      <c r="J398" s="8" t="n">
        <v>117</v>
      </c>
      <c r="K398" s="8" t="n">
        <v>31</v>
      </c>
      <c r="L398" s="8" t="n">
        <v>41</v>
      </c>
      <c r="M398" s="8" t="n">
        <v>46</v>
      </c>
      <c r="N398" s="8" t="n">
        <v>0</v>
      </c>
      <c r="O398" s="8" t="n">
        <v>22</v>
      </c>
      <c r="P398" s="8" t="n">
        <v>1138</v>
      </c>
      <c r="Q398" s="8" t="n">
        <v>12</v>
      </c>
      <c r="R398" s="8" t="n">
        <v>1152</v>
      </c>
      <c r="S398" s="8" t="n">
        <v>1640</v>
      </c>
    </row>
    <row r="399" customFormat="false" ht="15" hidden="false" customHeight="false" outlineLevel="0" collapsed="false">
      <c r="A399" s="8" t="n">
        <v>2026</v>
      </c>
      <c r="B399" s="8" t="s">
        <v>140</v>
      </c>
      <c r="C399" s="8" t="s">
        <v>180</v>
      </c>
      <c r="D399" s="8" t="s">
        <v>53</v>
      </c>
      <c r="E399" s="8"/>
      <c r="F399" s="8" t="n">
        <v>398</v>
      </c>
      <c r="G399" s="8" t="n">
        <v>68</v>
      </c>
      <c r="H399" s="8" t="n">
        <v>150</v>
      </c>
      <c r="I399" s="8" t="n">
        <v>30</v>
      </c>
      <c r="J399" s="8" t="n">
        <v>203</v>
      </c>
      <c r="K399" s="8" t="n">
        <v>14</v>
      </c>
      <c r="L399" s="8" t="n">
        <v>14</v>
      </c>
      <c r="M399" s="8" t="n">
        <v>26</v>
      </c>
      <c r="N399" s="8" t="n">
        <v>0</v>
      </c>
      <c r="O399" s="8" t="n">
        <v>13</v>
      </c>
      <c r="P399" s="8" t="n">
        <v>916</v>
      </c>
      <c r="Q399" s="8" t="n">
        <v>8</v>
      </c>
      <c r="R399" s="8" t="n">
        <v>925</v>
      </c>
      <c r="S399" s="8" t="n">
        <v>1416</v>
      </c>
    </row>
    <row r="400" customFormat="false" ht="15" hidden="false" customHeight="false" outlineLevel="0" collapsed="false">
      <c r="A400" s="8" t="n">
        <v>2026</v>
      </c>
      <c r="B400" s="8" t="s">
        <v>140</v>
      </c>
      <c r="C400" s="8" t="s">
        <v>182</v>
      </c>
      <c r="D400" s="8" t="s">
        <v>55</v>
      </c>
      <c r="E400" s="8"/>
      <c r="F400" s="8" t="n">
        <v>408</v>
      </c>
      <c r="G400" s="8" t="n">
        <v>103</v>
      </c>
      <c r="H400" s="8" t="n">
        <v>185</v>
      </c>
      <c r="I400" s="8" t="n">
        <v>41</v>
      </c>
      <c r="J400" s="8" t="n">
        <v>180</v>
      </c>
      <c r="K400" s="8" t="n">
        <v>14</v>
      </c>
      <c r="L400" s="8" t="n">
        <v>27</v>
      </c>
      <c r="M400" s="8" t="n">
        <v>32</v>
      </c>
      <c r="N400" s="8" t="n">
        <v>0</v>
      </c>
      <c r="O400" s="8" t="n">
        <v>19</v>
      </c>
      <c r="P400" s="8" t="n">
        <v>1009</v>
      </c>
      <c r="Q400" s="8" t="n">
        <v>8</v>
      </c>
      <c r="R400" s="8" t="n">
        <v>1017</v>
      </c>
      <c r="S400" s="8" t="n">
        <v>1530</v>
      </c>
    </row>
    <row r="401" customFormat="false" ht="15" hidden="false" customHeight="false" outlineLevel="0" collapsed="false">
      <c r="A401" s="8" t="n">
        <v>2026</v>
      </c>
      <c r="B401" s="8" t="s">
        <v>140</v>
      </c>
      <c r="C401" s="8" t="s">
        <v>184</v>
      </c>
      <c r="D401" s="8" t="s">
        <v>57</v>
      </c>
      <c r="E401" s="8"/>
      <c r="F401" s="8" t="n">
        <v>262</v>
      </c>
      <c r="G401" s="8" t="n">
        <v>119</v>
      </c>
      <c r="H401" s="8" t="n">
        <v>171</v>
      </c>
      <c r="I401" s="8" t="n">
        <v>88</v>
      </c>
      <c r="J401" s="8" t="n">
        <v>67</v>
      </c>
      <c r="K401" s="8" t="n">
        <v>48</v>
      </c>
      <c r="L401" s="8" t="n">
        <v>27</v>
      </c>
      <c r="M401" s="8" t="n">
        <v>49</v>
      </c>
      <c r="N401" s="8" t="n">
        <v>0</v>
      </c>
      <c r="O401" s="8" t="n">
        <v>13</v>
      </c>
      <c r="P401" s="8" t="n">
        <v>844</v>
      </c>
      <c r="Q401" s="8" t="n">
        <v>7</v>
      </c>
      <c r="R401" s="8" t="n">
        <v>853</v>
      </c>
      <c r="S401" s="8" t="n">
        <v>1091</v>
      </c>
    </row>
    <row r="402" customFormat="false" ht="15" hidden="false" customHeight="false" outlineLevel="0" collapsed="false">
      <c r="A402" s="8" t="n">
        <v>2026</v>
      </c>
      <c r="B402" s="8" t="s">
        <v>140</v>
      </c>
      <c r="C402" s="8" t="s">
        <v>186</v>
      </c>
      <c r="D402" s="8" t="s">
        <v>59</v>
      </c>
      <c r="E402" s="8"/>
      <c r="F402" s="8" t="n">
        <v>410</v>
      </c>
      <c r="G402" s="8" t="n">
        <v>103</v>
      </c>
      <c r="H402" s="8" t="n">
        <v>265</v>
      </c>
      <c r="I402" s="8" t="n">
        <v>65</v>
      </c>
      <c r="J402" s="8" t="n">
        <v>120</v>
      </c>
      <c r="K402" s="8" t="n">
        <v>30</v>
      </c>
      <c r="L402" s="8" t="n">
        <v>39</v>
      </c>
      <c r="M402" s="8" t="n">
        <v>41</v>
      </c>
      <c r="N402" s="8" t="n">
        <v>0</v>
      </c>
      <c r="O402" s="8" t="n">
        <v>19</v>
      </c>
      <c r="P402" s="8" t="n">
        <v>1092</v>
      </c>
      <c r="Q402" s="8" t="n">
        <v>14</v>
      </c>
      <c r="R402" s="8" t="n">
        <v>1107</v>
      </c>
      <c r="S402" s="8" t="n">
        <v>1597</v>
      </c>
    </row>
    <row r="403" customFormat="false" ht="15" hidden="false" customHeight="false" outlineLevel="0" collapsed="false">
      <c r="A403" s="8" t="n">
        <v>2026</v>
      </c>
      <c r="B403" s="8" t="s">
        <v>140</v>
      </c>
      <c r="C403" s="8" t="s">
        <v>188</v>
      </c>
      <c r="D403" s="8" t="s">
        <v>61</v>
      </c>
      <c r="E403" s="8"/>
      <c r="F403" s="8" t="n">
        <v>346</v>
      </c>
      <c r="G403" s="8" t="n">
        <v>149</v>
      </c>
      <c r="H403" s="8" t="n">
        <v>314</v>
      </c>
      <c r="I403" s="8" t="n">
        <v>71</v>
      </c>
      <c r="J403" s="8" t="n">
        <v>82</v>
      </c>
      <c r="K403" s="8" t="n">
        <v>28</v>
      </c>
      <c r="L403" s="8" t="n">
        <v>48</v>
      </c>
      <c r="M403" s="8" t="n">
        <v>46</v>
      </c>
      <c r="N403" s="8" t="n">
        <v>0</v>
      </c>
      <c r="O403" s="8" t="n">
        <v>10</v>
      </c>
      <c r="P403" s="8" t="n">
        <v>1094</v>
      </c>
      <c r="Q403" s="8" t="n">
        <v>15</v>
      </c>
      <c r="R403" s="8" t="n">
        <v>1115</v>
      </c>
      <c r="S403" s="8" t="n">
        <v>1428</v>
      </c>
    </row>
    <row r="404" customFormat="false" ht="15" hidden="false" customHeight="false" outlineLevel="0" collapsed="false">
      <c r="A404" s="8" t="n">
        <v>2026</v>
      </c>
      <c r="B404" s="8" t="s">
        <v>140</v>
      </c>
      <c r="C404" s="8" t="s">
        <v>190</v>
      </c>
      <c r="D404" s="8" t="s">
        <v>63</v>
      </c>
      <c r="E404" s="8"/>
      <c r="F404" s="8" t="n">
        <v>267</v>
      </c>
      <c r="G404" s="8" t="n">
        <v>82</v>
      </c>
      <c r="H404" s="8" t="n">
        <v>265</v>
      </c>
      <c r="I404" s="8" t="n">
        <v>29</v>
      </c>
      <c r="J404" s="8" t="n">
        <v>69</v>
      </c>
      <c r="K404" s="8" t="n">
        <v>5</v>
      </c>
      <c r="L404" s="8" t="n">
        <v>25</v>
      </c>
      <c r="M404" s="8" t="n">
        <v>16</v>
      </c>
      <c r="N404" s="8" t="n">
        <v>0</v>
      </c>
      <c r="O404" s="8" t="n">
        <v>9</v>
      </c>
      <c r="P404" s="8" t="n">
        <v>767</v>
      </c>
      <c r="Q404" s="8" t="n">
        <v>10</v>
      </c>
      <c r="R404" s="8" t="n">
        <v>778</v>
      </c>
      <c r="S404" s="8" t="n">
        <v>1001</v>
      </c>
    </row>
    <row r="405" customFormat="false" ht="15" hidden="false" customHeight="false" outlineLevel="0" collapsed="false">
      <c r="A405" s="8" t="n">
        <v>2026</v>
      </c>
      <c r="B405" s="8" t="s">
        <v>140</v>
      </c>
      <c r="C405" s="8" t="s">
        <v>192</v>
      </c>
      <c r="D405" s="8" t="s">
        <v>65</v>
      </c>
      <c r="E405" s="8"/>
      <c r="F405" s="8" t="n">
        <v>402</v>
      </c>
      <c r="G405" s="8" t="n">
        <v>123</v>
      </c>
      <c r="H405" s="8" t="n">
        <v>149</v>
      </c>
      <c r="I405" s="8" t="n">
        <v>67</v>
      </c>
      <c r="J405" s="8" t="n">
        <v>68</v>
      </c>
      <c r="K405" s="8" t="n">
        <v>17</v>
      </c>
      <c r="L405" s="8" t="n">
        <v>33</v>
      </c>
      <c r="M405" s="8" t="n">
        <v>25</v>
      </c>
      <c r="N405" s="8" t="n">
        <v>0</v>
      </c>
      <c r="O405" s="8" t="n">
        <v>5</v>
      </c>
      <c r="P405" s="8" t="n">
        <v>889</v>
      </c>
      <c r="Q405" s="8" t="n">
        <v>6</v>
      </c>
      <c r="R405" s="8" t="n">
        <v>895</v>
      </c>
      <c r="S405" s="8" t="n">
        <v>1148</v>
      </c>
    </row>
    <row r="406" customFormat="false" ht="15" hidden="false" customHeight="false" outlineLevel="0" collapsed="false">
      <c r="A406" s="8" t="n">
        <v>2026</v>
      </c>
      <c r="B406" s="8" t="s">
        <v>140</v>
      </c>
      <c r="C406" s="8" t="s">
        <v>194</v>
      </c>
      <c r="D406" s="8" t="s">
        <v>67</v>
      </c>
      <c r="E406" s="8"/>
      <c r="F406" s="8" t="n">
        <v>455</v>
      </c>
      <c r="G406" s="8" t="n">
        <v>34</v>
      </c>
      <c r="H406" s="8" t="n">
        <v>134</v>
      </c>
      <c r="I406" s="8" t="n">
        <v>13</v>
      </c>
      <c r="J406" s="8" t="n">
        <v>286</v>
      </c>
      <c r="K406" s="8" t="n">
        <v>12</v>
      </c>
      <c r="L406" s="8" t="n">
        <v>10</v>
      </c>
      <c r="M406" s="8" t="n">
        <v>21</v>
      </c>
      <c r="N406" s="8" t="n">
        <v>0</v>
      </c>
      <c r="O406" s="8" t="n">
        <v>12</v>
      </c>
      <c r="P406" s="8" t="n">
        <v>977</v>
      </c>
      <c r="Q406" s="8" t="n">
        <v>3</v>
      </c>
      <c r="R406" s="8" t="n">
        <v>982</v>
      </c>
      <c r="S406" s="8" t="n">
        <v>1568</v>
      </c>
    </row>
    <row r="407" customFormat="false" ht="15" hidden="false" customHeight="false" outlineLevel="0" collapsed="false">
      <c r="A407" s="8" t="n">
        <v>2026</v>
      </c>
      <c r="B407" s="8" t="s">
        <v>140</v>
      </c>
      <c r="C407" s="8" t="s">
        <v>196</v>
      </c>
      <c r="D407" s="8" t="s">
        <v>69</v>
      </c>
      <c r="E407" s="8"/>
      <c r="F407" s="8" t="n">
        <v>428</v>
      </c>
      <c r="G407" s="8" t="n">
        <v>106</v>
      </c>
      <c r="H407" s="8" t="n">
        <v>189</v>
      </c>
      <c r="I407" s="8" t="n">
        <v>55</v>
      </c>
      <c r="J407" s="8" t="n">
        <v>179</v>
      </c>
      <c r="K407" s="8" t="n">
        <v>28</v>
      </c>
      <c r="L407" s="8" t="n">
        <v>22</v>
      </c>
      <c r="M407" s="8" t="n">
        <v>35</v>
      </c>
      <c r="N407" s="8" t="n">
        <v>0</v>
      </c>
      <c r="O407" s="8" t="n">
        <v>8</v>
      </c>
      <c r="P407" s="8" t="n">
        <v>1050</v>
      </c>
      <c r="Q407" s="8" t="n">
        <v>8</v>
      </c>
      <c r="R407" s="8" t="n">
        <v>1059</v>
      </c>
      <c r="S407" s="8" t="n">
        <v>1487</v>
      </c>
    </row>
    <row r="408" customFormat="false" ht="15" hidden="false" customHeight="false" outlineLevel="0" collapsed="false">
      <c r="A408" s="8" t="n">
        <v>2026</v>
      </c>
      <c r="B408" s="8" t="s">
        <v>140</v>
      </c>
      <c r="C408" s="8" t="s">
        <v>198</v>
      </c>
      <c r="D408" s="8" t="s">
        <v>71</v>
      </c>
      <c r="E408" s="8"/>
      <c r="F408" s="8" t="n">
        <v>493</v>
      </c>
      <c r="G408" s="8" t="n">
        <v>169</v>
      </c>
      <c r="H408" s="8" t="n">
        <v>289</v>
      </c>
      <c r="I408" s="8" t="n">
        <v>103</v>
      </c>
      <c r="J408" s="8" t="n">
        <v>53</v>
      </c>
      <c r="K408" s="8" t="n">
        <v>21</v>
      </c>
      <c r="L408" s="8" t="n">
        <v>44</v>
      </c>
      <c r="M408" s="8" t="n">
        <v>41</v>
      </c>
      <c r="N408" s="8" t="n">
        <v>0</v>
      </c>
      <c r="O408" s="8" t="n">
        <v>13</v>
      </c>
      <c r="P408" s="8" t="n">
        <v>1226</v>
      </c>
      <c r="Q408" s="8" t="n">
        <v>14</v>
      </c>
      <c r="R408" s="8" t="n">
        <v>1240</v>
      </c>
      <c r="S408" s="8" t="n">
        <v>1448</v>
      </c>
    </row>
    <row r="409" customFormat="false" ht="15" hidden="false" customHeight="false" outlineLevel="0" collapsed="false">
      <c r="A409" s="8" t="n">
        <v>2026</v>
      </c>
      <c r="B409" s="8" t="s">
        <v>140</v>
      </c>
      <c r="C409" s="8" t="s">
        <v>200</v>
      </c>
      <c r="D409" s="8" t="s">
        <v>73</v>
      </c>
      <c r="E409" s="8"/>
      <c r="F409" s="8" t="n">
        <v>420</v>
      </c>
      <c r="G409" s="8" t="n">
        <v>305</v>
      </c>
      <c r="H409" s="8" t="n">
        <v>298</v>
      </c>
      <c r="I409" s="8" t="n">
        <v>165</v>
      </c>
      <c r="J409" s="8" t="n">
        <v>26</v>
      </c>
      <c r="K409" s="8" t="n">
        <v>49</v>
      </c>
      <c r="L409" s="8" t="n">
        <v>41</v>
      </c>
      <c r="M409" s="8" t="n">
        <v>45</v>
      </c>
      <c r="N409" s="8" t="n">
        <v>0</v>
      </c>
      <c r="O409" s="8" t="n">
        <v>13</v>
      </c>
      <c r="P409" s="8" t="n">
        <v>1362</v>
      </c>
      <c r="Q409" s="8" t="n">
        <v>13</v>
      </c>
      <c r="R409" s="8" t="n">
        <v>1381</v>
      </c>
      <c r="S409" s="8" t="n">
        <v>1558</v>
      </c>
    </row>
    <row r="410" customFormat="false" ht="15" hidden="false" customHeight="false" outlineLevel="0" collapsed="false">
      <c r="A410" s="8" t="n">
        <v>2026</v>
      </c>
      <c r="B410" s="8" t="s">
        <v>140</v>
      </c>
      <c r="C410" s="8" t="s">
        <v>202</v>
      </c>
      <c r="D410" s="8" t="s">
        <v>75</v>
      </c>
      <c r="E410" s="8"/>
      <c r="F410" s="8" t="n">
        <v>282</v>
      </c>
      <c r="G410" s="8" t="n">
        <v>417</v>
      </c>
      <c r="H410" s="8" t="n">
        <v>276</v>
      </c>
      <c r="I410" s="8" t="n">
        <v>275</v>
      </c>
      <c r="J410" s="8" t="n">
        <v>15</v>
      </c>
      <c r="K410" s="8" t="n">
        <v>97</v>
      </c>
      <c r="L410" s="8" t="n">
        <v>78</v>
      </c>
      <c r="M410" s="8" t="n">
        <v>51</v>
      </c>
      <c r="N410" s="8" t="n">
        <v>0</v>
      </c>
      <c r="O410" s="8" t="n">
        <v>7</v>
      </c>
      <c r="P410" s="8" t="n">
        <v>1498</v>
      </c>
      <c r="Q410" s="8" t="n">
        <v>10</v>
      </c>
      <c r="R410" s="8" t="n">
        <v>1508</v>
      </c>
      <c r="S410" s="8" t="n">
        <v>1707</v>
      </c>
    </row>
    <row r="411" customFormat="false" ht="15" hidden="false" customHeight="false" outlineLevel="0" collapsed="false">
      <c r="A411" s="8" t="n">
        <v>2026</v>
      </c>
      <c r="B411" s="8" t="s">
        <v>140</v>
      </c>
      <c r="C411" s="8" t="s">
        <v>232</v>
      </c>
      <c r="D411" s="8" t="s">
        <v>77</v>
      </c>
      <c r="E411" s="8"/>
      <c r="F411" s="8" t="n">
        <v>216</v>
      </c>
      <c r="G411" s="8" t="n">
        <v>288</v>
      </c>
      <c r="H411" s="8" t="n">
        <v>129</v>
      </c>
      <c r="I411" s="8" t="n">
        <v>147</v>
      </c>
      <c r="J411" s="8" t="n">
        <v>20</v>
      </c>
      <c r="K411" s="8" t="n">
        <v>57</v>
      </c>
      <c r="L411" s="8" t="n">
        <v>56</v>
      </c>
      <c r="M411" s="8" t="n">
        <v>28</v>
      </c>
      <c r="N411" s="8" t="n">
        <v>0</v>
      </c>
      <c r="O411" s="8" t="n">
        <v>3</v>
      </c>
      <c r="P411" s="8" t="n">
        <v>944</v>
      </c>
      <c r="Q411" s="8" t="n">
        <v>6</v>
      </c>
      <c r="R411" s="8" t="n">
        <v>950</v>
      </c>
      <c r="S411" s="8" t="n">
        <v>1025</v>
      </c>
    </row>
    <row r="412" customFormat="false" ht="15" hidden="false" customHeight="false" outlineLevel="0" collapsed="false">
      <c r="A412" s="8" t="n">
        <v>2026</v>
      </c>
      <c r="B412" s="8" t="s">
        <v>140</v>
      </c>
      <c r="C412" s="8" t="s">
        <v>233</v>
      </c>
      <c r="D412" s="8" t="s">
        <v>79</v>
      </c>
      <c r="E412" s="8"/>
      <c r="F412" s="8" t="n">
        <v>338</v>
      </c>
      <c r="G412" s="8" t="n">
        <v>67</v>
      </c>
      <c r="H412" s="8" t="n">
        <v>178</v>
      </c>
      <c r="I412" s="8" t="n">
        <v>34</v>
      </c>
      <c r="J412" s="8" t="n">
        <v>210</v>
      </c>
      <c r="K412" s="8" t="n">
        <v>12</v>
      </c>
      <c r="L412" s="8" t="n">
        <v>13</v>
      </c>
      <c r="M412" s="8" t="n">
        <v>39</v>
      </c>
      <c r="N412" s="8" t="n">
        <v>0</v>
      </c>
      <c r="O412" s="8" t="n">
        <v>19</v>
      </c>
      <c r="P412" s="8" t="n">
        <v>910</v>
      </c>
      <c r="Q412" s="8" t="n">
        <v>8</v>
      </c>
      <c r="R412" s="8" t="n">
        <v>921</v>
      </c>
      <c r="S412" s="8" t="n">
        <v>1492</v>
      </c>
    </row>
    <row r="413" customFormat="false" ht="15" hidden="false" customHeight="false" outlineLevel="0" collapsed="false">
      <c r="A413" s="8" t="n">
        <v>2026</v>
      </c>
      <c r="B413" s="8" t="s">
        <v>140</v>
      </c>
      <c r="C413" s="8" t="s">
        <v>204</v>
      </c>
      <c r="D413" s="8" t="s">
        <v>81</v>
      </c>
      <c r="E413" s="8"/>
      <c r="F413" s="8" t="n">
        <v>49</v>
      </c>
      <c r="G413" s="8" t="n">
        <v>60</v>
      </c>
      <c r="H413" s="8" t="n">
        <v>49</v>
      </c>
      <c r="I413" s="8" t="n">
        <v>35</v>
      </c>
      <c r="J413" s="8" t="n">
        <v>13</v>
      </c>
      <c r="K413" s="8" t="n">
        <v>24</v>
      </c>
      <c r="L413" s="8" t="n">
        <v>13</v>
      </c>
      <c r="M413" s="8" t="n">
        <v>30</v>
      </c>
      <c r="N413" s="8" t="n">
        <v>0</v>
      </c>
      <c r="O413" s="8" t="n">
        <v>5</v>
      </c>
      <c r="P413" s="8" t="n">
        <v>278</v>
      </c>
      <c r="Q413" s="8" t="n">
        <v>1</v>
      </c>
      <c r="R413" s="8" t="n">
        <v>279</v>
      </c>
      <c r="S413" s="8" t="n">
        <v>315</v>
      </c>
    </row>
    <row r="414" customFormat="false" ht="15" hidden="false" customHeight="false" outlineLevel="0" collapsed="false">
      <c r="A414" s="8" t="n">
        <v>2026</v>
      </c>
      <c r="B414" s="8" t="s">
        <v>140</v>
      </c>
      <c r="C414" s="8" t="s">
        <v>206</v>
      </c>
      <c r="D414" s="8" t="s">
        <v>83</v>
      </c>
      <c r="E414" s="8"/>
      <c r="F414" s="8" t="n">
        <v>172</v>
      </c>
      <c r="G414" s="8" t="n">
        <v>219</v>
      </c>
      <c r="H414" s="8" t="n">
        <v>335</v>
      </c>
      <c r="I414" s="8" t="n">
        <v>106</v>
      </c>
      <c r="J414" s="8" t="n">
        <v>42</v>
      </c>
      <c r="K414" s="8" t="n">
        <v>67</v>
      </c>
      <c r="L414" s="8" t="n">
        <v>63</v>
      </c>
      <c r="M414" s="8" t="n">
        <v>63</v>
      </c>
      <c r="N414" s="8" t="n">
        <v>0</v>
      </c>
      <c r="O414" s="8" t="n">
        <v>18</v>
      </c>
      <c r="P414" s="8" t="n">
        <v>1085</v>
      </c>
      <c r="Q414" s="8" t="n">
        <v>7</v>
      </c>
      <c r="R414" s="8" t="n">
        <v>1092</v>
      </c>
      <c r="S414" s="8" t="n">
        <v>1295</v>
      </c>
    </row>
    <row r="415" customFormat="false" ht="15" hidden="false" customHeight="false" outlineLevel="0" collapsed="false">
      <c r="A415" s="8" t="n">
        <v>2026</v>
      </c>
      <c r="B415" s="8" t="s">
        <v>140</v>
      </c>
      <c r="C415" s="8" t="s">
        <v>230</v>
      </c>
      <c r="D415" s="8" t="s">
        <v>85</v>
      </c>
      <c r="E415" s="8"/>
      <c r="F415" s="8" t="n">
        <v>305</v>
      </c>
      <c r="G415" s="8" t="n">
        <v>361</v>
      </c>
      <c r="H415" s="8" t="n">
        <v>401</v>
      </c>
      <c r="I415" s="8" t="n">
        <v>114</v>
      </c>
      <c r="J415" s="8" t="n">
        <v>41</v>
      </c>
      <c r="K415" s="8" t="n">
        <v>62</v>
      </c>
      <c r="L415" s="8" t="n">
        <v>78</v>
      </c>
      <c r="M415" s="8" t="n">
        <v>41</v>
      </c>
      <c r="N415" s="8" t="n">
        <v>0</v>
      </c>
      <c r="O415" s="8" t="n">
        <v>19</v>
      </c>
      <c r="P415" s="8" t="n">
        <v>1422</v>
      </c>
      <c r="Q415" s="8" t="n">
        <v>8</v>
      </c>
      <c r="R415" s="8" t="n">
        <v>1433</v>
      </c>
      <c r="S415" s="8" t="n">
        <v>1709</v>
      </c>
    </row>
    <row r="416" customFormat="false" ht="15" hidden="false" customHeight="false" outlineLevel="0" collapsed="false">
      <c r="A416" s="8" t="n">
        <v>2026</v>
      </c>
      <c r="B416" s="8" t="s">
        <v>140</v>
      </c>
      <c r="C416" s="8" t="s">
        <v>208</v>
      </c>
      <c r="D416" s="8" t="s">
        <v>87</v>
      </c>
      <c r="E416" s="8"/>
      <c r="F416" s="8" t="n">
        <v>338</v>
      </c>
      <c r="G416" s="8" t="n">
        <v>334</v>
      </c>
      <c r="H416" s="8" t="n">
        <v>394</v>
      </c>
      <c r="I416" s="8" t="n">
        <v>113</v>
      </c>
      <c r="J416" s="8" t="n">
        <v>38</v>
      </c>
      <c r="K416" s="8" t="n">
        <v>56</v>
      </c>
      <c r="L416" s="8" t="n">
        <v>84</v>
      </c>
      <c r="M416" s="8" t="n">
        <v>27</v>
      </c>
      <c r="N416" s="8" t="n">
        <v>0</v>
      </c>
      <c r="O416" s="8" t="n">
        <v>15</v>
      </c>
      <c r="P416" s="8" t="n">
        <v>1399</v>
      </c>
      <c r="Q416" s="8" t="n">
        <v>10</v>
      </c>
      <c r="R416" s="8" t="n">
        <v>1413</v>
      </c>
      <c r="S416" s="8" t="n">
        <v>1619</v>
      </c>
    </row>
    <row r="417" customFormat="false" ht="15" hidden="false" customHeight="false" outlineLevel="0" collapsed="false">
      <c r="A417" s="8" t="n">
        <v>2026</v>
      </c>
      <c r="B417" s="8" t="s">
        <v>140</v>
      </c>
      <c r="C417" s="8" t="s">
        <v>210</v>
      </c>
      <c r="D417" s="8" t="s">
        <v>89</v>
      </c>
      <c r="E417" s="8"/>
      <c r="F417" s="8" t="n">
        <v>292</v>
      </c>
      <c r="G417" s="8" t="n">
        <v>307</v>
      </c>
      <c r="H417" s="8" t="n">
        <v>441</v>
      </c>
      <c r="I417" s="8" t="n">
        <v>116</v>
      </c>
      <c r="J417" s="8" t="n">
        <v>57</v>
      </c>
      <c r="K417" s="8" t="n">
        <v>58</v>
      </c>
      <c r="L417" s="8" t="n">
        <v>69</v>
      </c>
      <c r="M417" s="8" t="n">
        <v>35</v>
      </c>
      <c r="N417" s="8" t="n">
        <v>0</v>
      </c>
      <c r="O417" s="8" t="n">
        <v>15</v>
      </c>
      <c r="P417" s="8" t="n">
        <v>1390</v>
      </c>
      <c r="Q417" s="8" t="n">
        <v>14</v>
      </c>
      <c r="R417" s="8" t="n">
        <v>1404</v>
      </c>
      <c r="S417" s="8" t="n">
        <v>1621</v>
      </c>
    </row>
    <row r="418" customFormat="false" ht="15" hidden="false" customHeight="false" outlineLevel="0" collapsed="false">
      <c r="A418" s="8" t="n">
        <v>2026</v>
      </c>
      <c r="B418" s="8" t="s">
        <v>140</v>
      </c>
      <c r="C418" s="8" t="s">
        <v>214</v>
      </c>
      <c r="D418" s="8" t="s">
        <v>91</v>
      </c>
      <c r="E418" s="8"/>
      <c r="F418" s="8" t="n">
        <v>190</v>
      </c>
      <c r="G418" s="8" t="n">
        <v>137</v>
      </c>
      <c r="H418" s="8" t="n">
        <v>226</v>
      </c>
      <c r="I418" s="8" t="n">
        <v>65</v>
      </c>
      <c r="J418" s="8" t="n">
        <v>68</v>
      </c>
      <c r="K418" s="8" t="n">
        <v>39</v>
      </c>
      <c r="L418" s="8" t="n">
        <v>40</v>
      </c>
      <c r="M418" s="8" t="n">
        <v>21</v>
      </c>
      <c r="N418" s="8" t="n">
        <v>0</v>
      </c>
      <c r="O418" s="8" t="n">
        <v>11</v>
      </c>
      <c r="P418" s="8" t="n">
        <v>797</v>
      </c>
      <c r="Q418" s="8" t="n">
        <v>6</v>
      </c>
      <c r="R418" s="8" t="n">
        <v>807</v>
      </c>
      <c r="S418" s="8" t="n">
        <v>943</v>
      </c>
    </row>
    <row r="419" customFormat="false" ht="15" hidden="false" customHeight="false" outlineLevel="0" collapsed="false">
      <c r="A419" s="8" t="n">
        <v>2026</v>
      </c>
      <c r="B419" s="8" t="s">
        <v>140</v>
      </c>
      <c r="C419" s="8" t="s">
        <v>234</v>
      </c>
      <c r="D419" s="8" t="s">
        <v>93</v>
      </c>
      <c r="E419" s="8"/>
      <c r="F419" s="8" t="n">
        <v>223</v>
      </c>
      <c r="G419" s="8" t="n">
        <v>301</v>
      </c>
      <c r="H419" s="8" t="n">
        <v>187</v>
      </c>
      <c r="I419" s="8" t="n">
        <v>128</v>
      </c>
      <c r="J419" s="8" t="n">
        <v>14</v>
      </c>
      <c r="K419" s="8" t="n">
        <v>83</v>
      </c>
      <c r="L419" s="8" t="n">
        <v>52</v>
      </c>
      <c r="M419" s="8" t="n">
        <v>63</v>
      </c>
      <c r="N419" s="8" t="n">
        <v>0</v>
      </c>
      <c r="O419" s="8" t="n">
        <v>13</v>
      </c>
      <c r="P419" s="8" t="n">
        <v>1064</v>
      </c>
      <c r="Q419" s="8" t="n">
        <v>7</v>
      </c>
      <c r="R419" s="8" t="n">
        <v>1073</v>
      </c>
      <c r="S419" s="8" t="n">
        <v>1229</v>
      </c>
    </row>
    <row r="420" customFormat="false" ht="15" hidden="false" customHeight="false" outlineLevel="0" collapsed="false">
      <c r="A420" s="8" t="n">
        <v>2026</v>
      </c>
      <c r="B420" s="8" t="s">
        <v>140</v>
      </c>
      <c r="C420" s="8" t="s">
        <v>235</v>
      </c>
      <c r="D420" s="8" t="s">
        <v>95</v>
      </c>
      <c r="E420" s="8"/>
      <c r="F420" s="8" t="n">
        <v>168</v>
      </c>
      <c r="G420" s="8" t="n">
        <v>232</v>
      </c>
      <c r="H420" s="8" t="n">
        <v>161</v>
      </c>
      <c r="I420" s="8" t="n">
        <v>102</v>
      </c>
      <c r="J420" s="8" t="n">
        <v>17</v>
      </c>
      <c r="K420" s="8" t="n">
        <v>82</v>
      </c>
      <c r="L420" s="8" t="n">
        <v>57</v>
      </c>
      <c r="M420" s="8" t="n">
        <v>45</v>
      </c>
      <c r="N420" s="8" t="n">
        <v>0</v>
      </c>
      <c r="O420" s="8" t="n">
        <v>7</v>
      </c>
      <c r="P420" s="8" t="n">
        <v>871</v>
      </c>
      <c r="Q420" s="8" t="n">
        <v>5</v>
      </c>
      <c r="R420" s="8" t="n">
        <v>877</v>
      </c>
      <c r="S420" s="8" t="n">
        <v>1012</v>
      </c>
    </row>
    <row r="421" customFormat="false" ht="15" hidden="false" customHeight="false" outlineLevel="0" collapsed="false">
      <c r="A421" s="8" t="n">
        <v>2026</v>
      </c>
      <c r="B421" s="8" t="s">
        <v>140</v>
      </c>
      <c r="C421" s="8" t="s">
        <v>146</v>
      </c>
      <c r="D421" s="8" t="s">
        <v>147</v>
      </c>
      <c r="E421" s="8" t="s">
        <v>218</v>
      </c>
      <c r="F421" s="8" t="n">
        <v>263</v>
      </c>
      <c r="G421" s="8" t="n">
        <v>176</v>
      </c>
      <c r="H421" s="8" t="n">
        <v>185</v>
      </c>
      <c r="I421" s="8" t="n">
        <v>67</v>
      </c>
      <c r="J421" s="8" t="n">
        <v>96</v>
      </c>
      <c r="K421" s="8" t="n">
        <v>64</v>
      </c>
      <c r="L421" s="8" t="n">
        <v>28</v>
      </c>
      <c r="M421" s="8" t="n">
        <v>43</v>
      </c>
      <c r="N421" s="8" t="n">
        <v>0</v>
      </c>
      <c r="O421" s="8" t="n">
        <v>13</v>
      </c>
      <c r="P421" s="8" t="n">
        <v>935</v>
      </c>
      <c r="Q421" s="8" t="n">
        <v>9</v>
      </c>
      <c r="R421" s="8"/>
      <c r="S421" s="8" t="n">
        <v>0</v>
      </c>
    </row>
    <row r="422" customFormat="false" ht="15" hidden="false" customHeight="false" outlineLevel="0" collapsed="false">
      <c r="A422" s="8" t="n">
        <v>2026</v>
      </c>
      <c r="B422" s="8" t="s">
        <v>139</v>
      </c>
      <c r="C422" s="8" t="s">
        <v>172</v>
      </c>
      <c r="D422" s="8" t="s">
        <v>45</v>
      </c>
      <c r="E422" s="8"/>
      <c r="F422" s="8" t="n">
        <v>335</v>
      </c>
      <c r="G422" s="8" t="n">
        <v>203</v>
      </c>
      <c r="H422" s="8" t="n">
        <v>238</v>
      </c>
      <c r="I422" s="8" t="n">
        <v>153</v>
      </c>
      <c r="J422" s="8" t="n">
        <v>75</v>
      </c>
      <c r="K422" s="8" t="n">
        <v>27</v>
      </c>
      <c r="L422" s="8" t="n">
        <v>67</v>
      </c>
      <c r="M422" s="8" t="n">
        <v>31</v>
      </c>
      <c r="N422" s="8" t="n">
        <v>0</v>
      </c>
      <c r="O422" s="8" t="n">
        <v>12</v>
      </c>
      <c r="P422" s="8" t="n">
        <v>1141</v>
      </c>
      <c r="Q422" s="8" t="n">
        <v>15</v>
      </c>
      <c r="R422" s="8" t="n">
        <v>1159</v>
      </c>
      <c r="S422" s="8" t="n">
        <v>1544</v>
      </c>
    </row>
    <row r="423" customFormat="false" ht="15" hidden="false" customHeight="false" outlineLevel="0" collapsed="false">
      <c r="A423" s="8" t="n">
        <v>2026</v>
      </c>
      <c r="B423" s="8" t="s">
        <v>139</v>
      </c>
      <c r="C423" s="8" t="s">
        <v>174</v>
      </c>
      <c r="D423" s="8" t="s">
        <v>47</v>
      </c>
      <c r="E423" s="8"/>
      <c r="F423" s="8" t="n">
        <v>369</v>
      </c>
      <c r="G423" s="8" t="n">
        <v>155</v>
      </c>
      <c r="H423" s="8" t="n">
        <v>216</v>
      </c>
      <c r="I423" s="8" t="n">
        <v>129</v>
      </c>
      <c r="J423" s="8" t="n">
        <v>128</v>
      </c>
      <c r="K423" s="8" t="n">
        <v>20</v>
      </c>
      <c r="L423" s="8" t="n">
        <v>53</v>
      </c>
      <c r="M423" s="8" t="n">
        <v>42</v>
      </c>
      <c r="N423" s="8" t="n">
        <v>0</v>
      </c>
      <c r="O423" s="8" t="n">
        <v>6</v>
      </c>
      <c r="P423" s="8" t="n">
        <v>1118</v>
      </c>
      <c r="Q423" s="8" t="n">
        <v>16</v>
      </c>
      <c r="R423" s="8" t="n">
        <v>1137</v>
      </c>
      <c r="S423" s="8" t="n">
        <v>1518</v>
      </c>
    </row>
    <row r="424" customFormat="false" ht="15" hidden="false" customHeight="false" outlineLevel="0" collapsed="false">
      <c r="A424" s="8" t="n">
        <v>2026</v>
      </c>
      <c r="B424" s="8" t="s">
        <v>139</v>
      </c>
      <c r="C424" s="8" t="s">
        <v>176</v>
      </c>
      <c r="D424" s="8" t="s">
        <v>49</v>
      </c>
      <c r="E424" s="8"/>
      <c r="F424" s="8" t="n">
        <v>472</v>
      </c>
      <c r="G424" s="8" t="n">
        <v>115</v>
      </c>
      <c r="H424" s="8" t="n">
        <v>183</v>
      </c>
      <c r="I424" s="8" t="n">
        <v>91</v>
      </c>
      <c r="J424" s="8" t="n">
        <v>171</v>
      </c>
      <c r="K424" s="8" t="n">
        <v>19</v>
      </c>
      <c r="L424" s="8" t="n">
        <v>36</v>
      </c>
      <c r="M424" s="8" t="n">
        <v>42</v>
      </c>
      <c r="N424" s="8" t="n">
        <v>0</v>
      </c>
      <c r="O424" s="8" t="n">
        <v>14</v>
      </c>
      <c r="P424" s="8" t="n">
        <v>1143</v>
      </c>
      <c r="Q424" s="8" t="n">
        <v>18</v>
      </c>
      <c r="R424" s="8" t="n">
        <v>1164</v>
      </c>
      <c r="S424" s="8" t="n">
        <v>1754</v>
      </c>
    </row>
    <row r="425" customFormat="false" ht="15" hidden="false" customHeight="false" outlineLevel="0" collapsed="false">
      <c r="A425" s="8" t="n">
        <v>2026</v>
      </c>
      <c r="B425" s="8" t="s">
        <v>139</v>
      </c>
      <c r="C425" s="8" t="s">
        <v>178</v>
      </c>
      <c r="D425" s="8" t="s">
        <v>51</v>
      </c>
      <c r="E425" s="8"/>
      <c r="F425" s="8" t="n">
        <v>388</v>
      </c>
      <c r="G425" s="8" t="n">
        <v>145</v>
      </c>
      <c r="H425" s="8" t="n">
        <v>238</v>
      </c>
      <c r="I425" s="8" t="n">
        <v>130</v>
      </c>
      <c r="J425" s="8" t="n">
        <v>120</v>
      </c>
      <c r="K425" s="8" t="n">
        <v>24</v>
      </c>
      <c r="L425" s="8" t="n">
        <v>41</v>
      </c>
      <c r="M425" s="8" t="n">
        <v>52</v>
      </c>
      <c r="N425" s="8" t="n">
        <v>0</v>
      </c>
      <c r="O425" s="8" t="n">
        <v>8</v>
      </c>
      <c r="P425" s="8" t="n">
        <v>1146</v>
      </c>
      <c r="Q425" s="8" t="n">
        <v>24</v>
      </c>
      <c r="R425" s="8" t="n">
        <v>1172</v>
      </c>
      <c r="S425" s="8" t="n">
        <v>1717</v>
      </c>
    </row>
    <row r="426" customFormat="false" ht="15" hidden="false" customHeight="false" outlineLevel="0" collapsed="false">
      <c r="A426" s="8" t="n">
        <v>2026</v>
      </c>
      <c r="B426" s="8" t="s">
        <v>139</v>
      </c>
      <c r="C426" s="8" t="s">
        <v>180</v>
      </c>
      <c r="D426" s="8" t="s">
        <v>53</v>
      </c>
      <c r="E426" s="8"/>
      <c r="F426" s="8" t="n">
        <v>459</v>
      </c>
      <c r="G426" s="8" t="n">
        <v>85</v>
      </c>
      <c r="H426" s="8" t="n">
        <v>123</v>
      </c>
      <c r="I426" s="8" t="n">
        <v>51</v>
      </c>
      <c r="J426" s="8" t="n">
        <v>226</v>
      </c>
      <c r="K426" s="8" t="n">
        <v>14</v>
      </c>
      <c r="L426" s="8" t="n">
        <v>12</v>
      </c>
      <c r="M426" s="8" t="n">
        <v>25</v>
      </c>
      <c r="N426" s="8" t="n">
        <v>0</v>
      </c>
      <c r="O426" s="8" t="n">
        <v>5</v>
      </c>
      <c r="P426" s="8" t="n">
        <v>1000</v>
      </c>
      <c r="Q426" s="8" t="n">
        <v>11</v>
      </c>
      <c r="R426" s="8" t="n">
        <v>1013</v>
      </c>
      <c r="S426" s="8" t="n">
        <v>1649</v>
      </c>
    </row>
    <row r="427" customFormat="false" ht="15" hidden="false" customHeight="false" outlineLevel="0" collapsed="false">
      <c r="A427" s="8" t="n">
        <v>2026</v>
      </c>
      <c r="B427" s="8" t="s">
        <v>139</v>
      </c>
      <c r="C427" s="8" t="s">
        <v>182</v>
      </c>
      <c r="D427" s="8" t="s">
        <v>55</v>
      </c>
      <c r="E427" s="8"/>
      <c r="F427" s="8" t="n">
        <v>463</v>
      </c>
      <c r="G427" s="8" t="n">
        <v>99</v>
      </c>
      <c r="H427" s="8" t="n">
        <v>158</v>
      </c>
      <c r="I427" s="8" t="n">
        <v>71</v>
      </c>
      <c r="J427" s="8" t="n">
        <v>190</v>
      </c>
      <c r="K427" s="8" t="n">
        <v>12</v>
      </c>
      <c r="L427" s="8" t="n">
        <v>33</v>
      </c>
      <c r="M427" s="8" t="n">
        <v>26</v>
      </c>
      <c r="N427" s="8" t="n">
        <v>0</v>
      </c>
      <c r="O427" s="8" t="n">
        <v>11</v>
      </c>
      <c r="P427" s="8" t="n">
        <v>1063</v>
      </c>
      <c r="Q427" s="8" t="n">
        <v>9</v>
      </c>
      <c r="R427" s="8" t="n">
        <v>1074</v>
      </c>
      <c r="S427" s="8" t="n">
        <v>1795</v>
      </c>
    </row>
    <row r="428" customFormat="false" ht="15" hidden="false" customHeight="false" outlineLevel="0" collapsed="false">
      <c r="A428" s="8" t="n">
        <v>2026</v>
      </c>
      <c r="B428" s="8" t="s">
        <v>139</v>
      </c>
      <c r="C428" s="8" t="s">
        <v>184</v>
      </c>
      <c r="D428" s="8" t="s">
        <v>57</v>
      </c>
      <c r="E428" s="8"/>
      <c r="F428" s="8" t="n">
        <v>300</v>
      </c>
      <c r="G428" s="8" t="n">
        <v>128</v>
      </c>
      <c r="H428" s="8" t="n">
        <v>126</v>
      </c>
      <c r="I428" s="8" t="n">
        <v>127</v>
      </c>
      <c r="J428" s="8" t="n">
        <v>69</v>
      </c>
      <c r="K428" s="8" t="n">
        <v>22</v>
      </c>
      <c r="L428" s="8" t="n">
        <v>31</v>
      </c>
      <c r="M428" s="8" t="n">
        <v>42</v>
      </c>
      <c r="N428" s="8" t="n">
        <v>0</v>
      </c>
      <c r="O428" s="8" t="n">
        <v>7</v>
      </c>
      <c r="P428" s="8" t="n">
        <v>852</v>
      </c>
      <c r="Q428" s="8" t="n">
        <v>12</v>
      </c>
      <c r="R428" s="8" t="n">
        <v>868</v>
      </c>
      <c r="S428" s="8" t="n">
        <v>1138</v>
      </c>
    </row>
    <row r="429" customFormat="false" ht="15" hidden="false" customHeight="false" outlineLevel="0" collapsed="false">
      <c r="A429" s="8" t="n">
        <v>2026</v>
      </c>
      <c r="B429" s="8" t="s">
        <v>139</v>
      </c>
      <c r="C429" s="8" t="s">
        <v>186</v>
      </c>
      <c r="D429" s="8" t="s">
        <v>59</v>
      </c>
      <c r="E429" s="8"/>
      <c r="F429" s="8" t="n">
        <v>444</v>
      </c>
      <c r="G429" s="8" t="n">
        <v>106</v>
      </c>
      <c r="H429" s="8" t="n">
        <v>224</v>
      </c>
      <c r="I429" s="8" t="n">
        <v>80</v>
      </c>
      <c r="J429" s="8" t="n">
        <v>121</v>
      </c>
      <c r="K429" s="8" t="n">
        <v>23</v>
      </c>
      <c r="L429" s="8" t="n">
        <v>51</v>
      </c>
      <c r="M429" s="8" t="n">
        <v>41</v>
      </c>
      <c r="N429" s="8" t="n">
        <v>0</v>
      </c>
      <c r="O429" s="8" t="n">
        <v>11</v>
      </c>
      <c r="P429" s="8" t="n">
        <v>1101</v>
      </c>
      <c r="Q429" s="8" t="n">
        <v>24</v>
      </c>
      <c r="R429" s="8" t="n">
        <v>1125</v>
      </c>
      <c r="S429" s="8" t="n">
        <v>1725</v>
      </c>
    </row>
    <row r="430" customFormat="false" ht="15" hidden="false" customHeight="false" outlineLevel="0" collapsed="false">
      <c r="A430" s="8" t="n">
        <v>2026</v>
      </c>
      <c r="B430" s="8" t="s">
        <v>139</v>
      </c>
      <c r="C430" s="8" t="s">
        <v>188</v>
      </c>
      <c r="D430" s="8" t="s">
        <v>61</v>
      </c>
      <c r="E430" s="8"/>
      <c r="F430" s="8" t="n">
        <v>384</v>
      </c>
      <c r="G430" s="8" t="n">
        <v>155</v>
      </c>
      <c r="H430" s="8" t="n">
        <v>253</v>
      </c>
      <c r="I430" s="8" t="n">
        <v>104</v>
      </c>
      <c r="J430" s="8" t="n">
        <v>86</v>
      </c>
      <c r="K430" s="8" t="n">
        <v>15</v>
      </c>
      <c r="L430" s="8" t="n">
        <v>58</v>
      </c>
      <c r="M430" s="8" t="n">
        <v>38</v>
      </c>
      <c r="N430" s="8" t="n">
        <v>0</v>
      </c>
      <c r="O430" s="8" t="n">
        <v>2</v>
      </c>
      <c r="P430" s="8" t="n">
        <v>1095</v>
      </c>
      <c r="Q430" s="8" t="n">
        <v>25</v>
      </c>
      <c r="R430" s="8" t="n">
        <v>1125</v>
      </c>
      <c r="S430" s="8" t="n">
        <v>1510</v>
      </c>
    </row>
    <row r="431" customFormat="false" ht="15" hidden="false" customHeight="false" outlineLevel="0" collapsed="false">
      <c r="A431" s="8" t="n">
        <v>2026</v>
      </c>
      <c r="B431" s="8" t="s">
        <v>139</v>
      </c>
      <c r="C431" s="8" t="s">
        <v>190</v>
      </c>
      <c r="D431" s="8" t="s">
        <v>63</v>
      </c>
      <c r="E431" s="8"/>
      <c r="F431" s="8" t="n">
        <v>283</v>
      </c>
      <c r="G431" s="8" t="n">
        <v>94</v>
      </c>
      <c r="H431" s="8" t="n">
        <v>226</v>
      </c>
      <c r="I431" s="8" t="n">
        <v>53</v>
      </c>
      <c r="J431" s="8" t="n">
        <v>63</v>
      </c>
      <c r="K431" s="8" t="n">
        <v>3</v>
      </c>
      <c r="L431" s="8" t="n">
        <v>27</v>
      </c>
      <c r="M431" s="8" t="n">
        <v>14</v>
      </c>
      <c r="N431" s="8" t="n">
        <v>0</v>
      </c>
      <c r="O431" s="8" t="n">
        <v>7</v>
      </c>
      <c r="P431" s="8" t="n">
        <v>770</v>
      </c>
      <c r="Q431" s="8" t="n">
        <v>18</v>
      </c>
      <c r="R431" s="8" t="n">
        <v>789</v>
      </c>
      <c r="S431" s="8" t="n">
        <v>1040</v>
      </c>
    </row>
    <row r="432" customFormat="false" ht="15" hidden="false" customHeight="false" outlineLevel="0" collapsed="false">
      <c r="A432" s="8" t="n">
        <v>2026</v>
      </c>
      <c r="B432" s="8" t="s">
        <v>139</v>
      </c>
      <c r="C432" s="8" t="s">
        <v>192</v>
      </c>
      <c r="D432" s="8" t="s">
        <v>65</v>
      </c>
      <c r="E432" s="8"/>
      <c r="F432" s="8" t="n">
        <v>402</v>
      </c>
      <c r="G432" s="8" t="n">
        <v>118</v>
      </c>
      <c r="H432" s="8" t="n">
        <v>113</v>
      </c>
      <c r="I432" s="8" t="n">
        <v>98</v>
      </c>
      <c r="J432" s="8" t="n">
        <v>75</v>
      </c>
      <c r="K432" s="8" t="n">
        <v>13</v>
      </c>
      <c r="L432" s="8" t="n">
        <v>52</v>
      </c>
      <c r="M432" s="8" t="n">
        <v>23</v>
      </c>
      <c r="N432" s="8" t="n">
        <v>0</v>
      </c>
      <c r="O432" s="8" t="n">
        <v>2</v>
      </c>
      <c r="P432" s="8" t="n">
        <v>896</v>
      </c>
      <c r="Q432" s="8" t="n">
        <v>7</v>
      </c>
      <c r="R432" s="8" t="n">
        <v>904</v>
      </c>
      <c r="S432" s="8" t="n">
        <v>1161</v>
      </c>
    </row>
    <row r="433" customFormat="false" ht="15" hidden="false" customHeight="false" outlineLevel="0" collapsed="false">
      <c r="A433" s="8" t="n">
        <v>2026</v>
      </c>
      <c r="B433" s="8" t="s">
        <v>139</v>
      </c>
      <c r="C433" s="8" t="s">
        <v>194</v>
      </c>
      <c r="D433" s="8" t="s">
        <v>67</v>
      </c>
      <c r="E433" s="8"/>
      <c r="F433" s="8" t="n">
        <v>474</v>
      </c>
      <c r="G433" s="8" t="n">
        <v>49</v>
      </c>
      <c r="H433" s="8" t="n">
        <v>119</v>
      </c>
      <c r="I433" s="8" t="n">
        <v>36</v>
      </c>
      <c r="J433" s="8" t="n">
        <v>310</v>
      </c>
      <c r="K433" s="8" t="n">
        <v>8</v>
      </c>
      <c r="L433" s="8" t="n">
        <v>9</v>
      </c>
      <c r="M433" s="8" t="n">
        <v>27</v>
      </c>
      <c r="N433" s="8" t="n">
        <v>0</v>
      </c>
      <c r="O433" s="8" t="n">
        <v>7</v>
      </c>
      <c r="P433" s="8" t="n">
        <v>1039</v>
      </c>
      <c r="Q433" s="8" t="n">
        <v>7</v>
      </c>
      <c r="R433" s="8" t="n">
        <v>1048</v>
      </c>
      <c r="S433" s="8" t="n">
        <v>1742</v>
      </c>
    </row>
    <row r="434" customFormat="false" ht="15" hidden="false" customHeight="false" outlineLevel="0" collapsed="false">
      <c r="A434" s="8" t="n">
        <v>2026</v>
      </c>
      <c r="B434" s="8" t="s">
        <v>139</v>
      </c>
      <c r="C434" s="8" t="s">
        <v>196</v>
      </c>
      <c r="D434" s="8" t="s">
        <v>69</v>
      </c>
      <c r="E434" s="8"/>
      <c r="F434" s="8" t="n">
        <v>460</v>
      </c>
      <c r="G434" s="8" t="n">
        <v>112</v>
      </c>
      <c r="H434" s="8" t="n">
        <v>148</v>
      </c>
      <c r="I434" s="8" t="n">
        <v>79</v>
      </c>
      <c r="J434" s="8" t="n">
        <v>193</v>
      </c>
      <c r="K434" s="8" t="n">
        <v>18</v>
      </c>
      <c r="L434" s="8" t="n">
        <v>29</v>
      </c>
      <c r="M434" s="8" t="n">
        <v>37</v>
      </c>
      <c r="N434" s="8" t="n">
        <v>0</v>
      </c>
      <c r="O434" s="8" t="n">
        <v>5</v>
      </c>
      <c r="P434" s="8" t="n">
        <v>1081</v>
      </c>
      <c r="Q434" s="8" t="n">
        <v>19</v>
      </c>
      <c r="R434" s="8" t="n">
        <v>1101</v>
      </c>
      <c r="S434" s="8" t="n">
        <v>1652</v>
      </c>
    </row>
    <row r="435" customFormat="false" ht="15" hidden="false" customHeight="false" outlineLevel="0" collapsed="false">
      <c r="A435" s="8" t="n">
        <v>2026</v>
      </c>
      <c r="B435" s="8" t="s">
        <v>139</v>
      </c>
      <c r="C435" s="8" t="s">
        <v>198</v>
      </c>
      <c r="D435" s="8" t="s">
        <v>71</v>
      </c>
      <c r="E435" s="8"/>
      <c r="F435" s="8" t="n">
        <v>531</v>
      </c>
      <c r="G435" s="8" t="n">
        <v>171</v>
      </c>
      <c r="H435" s="8" t="n">
        <v>214</v>
      </c>
      <c r="I435" s="8" t="n">
        <v>139</v>
      </c>
      <c r="J435" s="8" t="n">
        <v>57</v>
      </c>
      <c r="K435" s="8" t="n">
        <v>16</v>
      </c>
      <c r="L435" s="8" t="n">
        <v>55</v>
      </c>
      <c r="M435" s="8" t="n">
        <v>26</v>
      </c>
      <c r="N435" s="8" t="n">
        <v>0</v>
      </c>
      <c r="O435" s="8" t="n">
        <v>8</v>
      </c>
      <c r="P435" s="8" t="n">
        <v>1217</v>
      </c>
      <c r="Q435" s="8" t="n">
        <v>25</v>
      </c>
      <c r="R435" s="8" t="n">
        <v>1242</v>
      </c>
      <c r="S435" s="8" t="n">
        <v>1468</v>
      </c>
    </row>
    <row r="436" customFormat="false" ht="15" hidden="false" customHeight="false" outlineLevel="0" collapsed="false">
      <c r="A436" s="8" t="n">
        <v>2026</v>
      </c>
      <c r="B436" s="8" t="s">
        <v>139</v>
      </c>
      <c r="C436" s="8" t="s">
        <v>200</v>
      </c>
      <c r="D436" s="8" t="s">
        <v>73</v>
      </c>
      <c r="E436" s="8"/>
      <c r="F436" s="8" t="n">
        <v>466</v>
      </c>
      <c r="G436" s="8" t="n">
        <v>279</v>
      </c>
      <c r="H436" s="8" t="n">
        <v>203</v>
      </c>
      <c r="I436" s="8" t="n">
        <v>231</v>
      </c>
      <c r="J436" s="8" t="n">
        <v>30</v>
      </c>
      <c r="K436" s="8" t="n">
        <v>25</v>
      </c>
      <c r="L436" s="8" t="n">
        <v>79</v>
      </c>
      <c r="M436" s="8" t="n">
        <v>34</v>
      </c>
      <c r="N436" s="8" t="n">
        <v>0</v>
      </c>
      <c r="O436" s="8" t="n">
        <v>7</v>
      </c>
      <c r="P436" s="8" t="n">
        <v>1354</v>
      </c>
      <c r="Q436" s="8" t="n">
        <v>30</v>
      </c>
      <c r="R436" s="8" t="n">
        <v>1384</v>
      </c>
      <c r="S436" s="8" t="n">
        <v>1565</v>
      </c>
    </row>
    <row r="437" customFormat="false" ht="15" hidden="false" customHeight="false" outlineLevel="0" collapsed="false">
      <c r="A437" s="8" t="n">
        <v>2026</v>
      </c>
      <c r="B437" s="8" t="s">
        <v>139</v>
      </c>
      <c r="C437" s="8" t="s">
        <v>202</v>
      </c>
      <c r="D437" s="8" t="s">
        <v>75</v>
      </c>
      <c r="E437" s="8"/>
      <c r="F437" s="8" t="n">
        <v>328</v>
      </c>
      <c r="G437" s="8" t="n">
        <v>434</v>
      </c>
      <c r="H437" s="8" t="n">
        <v>165</v>
      </c>
      <c r="I437" s="8" t="n">
        <v>334</v>
      </c>
      <c r="J437" s="8" t="n">
        <v>18</v>
      </c>
      <c r="K437" s="8" t="n">
        <v>49</v>
      </c>
      <c r="L437" s="8" t="n">
        <v>112</v>
      </c>
      <c r="M437" s="8" t="n">
        <v>49</v>
      </c>
      <c r="N437" s="8" t="n">
        <v>0</v>
      </c>
      <c r="O437" s="8" t="n">
        <v>6</v>
      </c>
      <c r="P437" s="8" t="n">
        <v>1495</v>
      </c>
      <c r="Q437" s="8" t="n">
        <v>16</v>
      </c>
      <c r="R437" s="8" t="n">
        <v>1511</v>
      </c>
      <c r="S437" s="8" t="n">
        <v>1680</v>
      </c>
    </row>
    <row r="438" customFormat="false" ht="15" hidden="false" customHeight="false" outlineLevel="0" collapsed="false">
      <c r="A438" s="8" t="n">
        <v>2026</v>
      </c>
      <c r="B438" s="8" t="s">
        <v>139</v>
      </c>
      <c r="C438" s="8" t="s">
        <v>232</v>
      </c>
      <c r="D438" s="8" t="s">
        <v>77</v>
      </c>
      <c r="E438" s="8"/>
      <c r="F438" s="8" t="n">
        <v>243</v>
      </c>
      <c r="G438" s="8" t="n">
        <v>311</v>
      </c>
      <c r="H438" s="8" t="n">
        <v>72</v>
      </c>
      <c r="I438" s="8" t="n">
        <v>188</v>
      </c>
      <c r="J438" s="8" t="n">
        <v>17</v>
      </c>
      <c r="K438" s="8" t="n">
        <v>22</v>
      </c>
      <c r="L438" s="8" t="n">
        <v>57</v>
      </c>
      <c r="M438" s="8" t="n">
        <v>24</v>
      </c>
      <c r="N438" s="8" t="n">
        <v>0</v>
      </c>
      <c r="O438" s="8" t="n">
        <v>2</v>
      </c>
      <c r="P438" s="8" t="n">
        <v>936</v>
      </c>
      <c r="Q438" s="8" t="n">
        <v>10</v>
      </c>
      <c r="R438" s="8" t="n">
        <v>946</v>
      </c>
      <c r="S438" s="8" t="n">
        <v>1035</v>
      </c>
    </row>
    <row r="439" customFormat="false" ht="15" hidden="false" customHeight="false" outlineLevel="0" collapsed="false">
      <c r="A439" s="8" t="n">
        <v>2026</v>
      </c>
      <c r="B439" s="8" t="s">
        <v>139</v>
      </c>
      <c r="C439" s="8" t="s">
        <v>233</v>
      </c>
      <c r="D439" s="8" t="s">
        <v>79</v>
      </c>
      <c r="E439" s="8"/>
      <c r="F439" s="8" t="n">
        <v>398</v>
      </c>
      <c r="G439" s="8" t="n">
        <v>70</v>
      </c>
      <c r="H439" s="8" t="n">
        <v>153</v>
      </c>
      <c r="I439" s="8" t="n">
        <v>51</v>
      </c>
      <c r="J439" s="8" t="n">
        <v>207</v>
      </c>
      <c r="K439" s="8" t="n">
        <v>12</v>
      </c>
      <c r="L439" s="8" t="n">
        <v>23</v>
      </c>
      <c r="M439" s="8" t="n">
        <v>34</v>
      </c>
      <c r="N439" s="8" t="n">
        <v>0</v>
      </c>
      <c r="O439" s="8" t="n">
        <v>11</v>
      </c>
      <c r="P439" s="8" t="n">
        <v>959</v>
      </c>
      <c r="Q439" s="8" t="n">
        <v>7</v>
      </c>
      <c r="R439" s="8" t="n">
        <v>969</v>
      </c>
      <c r="S439" s="8" t="n">
        <v>1671</v>
      </c>
    </row>
    <row r="440" customFormat="false" ht="15" hidden="false" customHeight="false" outlineLevel="0" collapsed="false">
      <c r="A440" s="8" t="n">
        <v>2026</v>
      </c>
      <c r="B440" s="8" t="s">
        <v>139</v>
      </c>
      <c r="C440" s="8" t="s">
        <v>204</v>
      </c>
      <c r="D440" s="8" t="s">
        <v>81</v>
      </c>
      <c r="E440" s="8"/>
      <c r="F440" s="8" t="n">
        <v>55</v>
      </c>
      <c r="G440" s="8" t="n">
        <v>68</v>
      </c>
      <c r="H440" s="8" t="n">
        <v>35</v>
      </c>
      <c r="I440" s="8" t="n">
        <v>45</v>
      </c>
      <c r="J440" s="8" t="n">
        <v>16</v>
      </c>
      <c r="K440" s="8" t="n">
        <v>14</v>
      </c>
      <c r="L440" s="8" t="n">
        <v>10</v>
      </c>
      <c r="M440" s="8" t="n">
        <v>30</v>
      </c>
      <c r="N440" s="8" t="n">
        <v>0</v>
      </c>
      <c r="O440" s="8" t="n">
        <v>2</v>
      </c>
      <c r="P440" s="8" t="n">
        <v>275</v>
      </c>
      <c r="Q440" s="8" t="n">
        <v>8</v>
      </c>
      <c r="R440" s="8" t="n">
        <v>283</v>
      </c>
      <c r="S440" s="8" t="n">
        <v>314</v>
      </c>
    </row>
    <row r="441" customFormat="false" ht="15" hidden="false" customHeight="false" outlineLevel="0" collapsed="false">
      <c r="A441" s="8" t="n">
        <v>2026</v>
      </c>
      <c r="B441" s="8" t="s">
        <v>139</v>
      </c>
      <c r="C441" s="8" t="s">
        <v>206</v>
      </c>
      <c r="D441" s="8" t="s">
        <v>83</v>
      </c>
      <c r="E441" s="8"/>
      <c r="F441" s="8" t="n">
        <v>201</v>
      </c>
      <c r="G441" s="8" t="n">
        <v>260</v>
      </c>
      <c r="H441" s="8" t="n">
        <v>286</v>
      </c>
      <c r="I441" s="8" t="n">
        <v>106</v>
      </c>
      <c r="J441" s="8" t="n">
        <v>41</v>
      </c>
      <c r="K441" s="8" t="n">
        <v>48</v>
      </c>
      <c r="L441" s="8" t="n">
        <v>74</v>
      </c>
      <c r="M441" s="8" t="n">
        <v>57</v>
      </c>
      <c r="N441" s="8" t="n">
        <v>0</v>
      </c>
      <c r="O441" s="8" t="n">
        <v>9</v>
      </c>
      <c r="P441" s="8" t="n">
        <v>1082</v>
      </c>
      <c r="Q441" s="8" t="n">
        <v>16</v>
      </c>
      <c r="R441" s="8" t="n">
        <v>1099</v>
      </c>
      <c r="S441" s="8" t="n">
        <v>1351</v>
      </c>
    </row>
    <row r="442" customFormat="false" ht="15" hidden="false" customHeight="false" outlineLevel="0" collapsed="false">
      <c r="A442" s="8" t="n">
        <v>2026</v>
      </c>
      <c r="B442" s="8" t="s">
        <v>139</v>
      </c>
      <c r="C442" s="8" t="s">
        <v>230</v>
      </c>
      <c r="D442" s="8" t="s">
        <v>85</v>
      </c>
      <c r="E442" s="8"/>
      <c r="F442" s="8" t="n">
        <v>341</v>
      </c>
      <c r="G442" s="8" t="n">
        <v>381</v>
      </c>
      <c r="H442" s="8" t="n">
        <v>352</v>
      </c>
      <c r="I442" s="8" t="n">
        <v>136</v>
      </c>
      <c r="J442" s="8" t="n">
        <v>56</v>
      </c>
      <c r="K442" s="8" t="n">
        <v>26</v>
      </c>
      <c r="L442" s="8" t="n">
        <v>77</v>
      </c>
      <c r="M442" s="8" t="n">
        <v>36</v>
      </c>
      <c r="N442" s="8" t="n">
        <v>0</v>
      </c>
      <c r="O442" s="8" t="n">
        <v>7</v>
      </c>
      <c r="P442" s="8" t="n">
        <v>1412</v>
      </c>
      <c r="Q442" s="8" t="n">
        <v>24</v>
      </c>
      <c r="R442" s="8" t="n">
        <v>1438</v>
      </c>
      <c r="S442" s="8" t="n">
        <v>1758</v>
      </c>
    </row>
    <row r="443" customFormat="false" ht="15" hidden="false" customHeight="false" outlineLevel="0" collapsed="false">
      <c r="A443" s="8" t="n">
        <v>2026</v>
      </c>
      <c r="B443" s="8" t="s">
        <v>139</v>
      </c>
      <c r="C443" s="8" t="s">
        <v>208</v>
      </c>
      <c r="D443" s="8" t="s">
        <v>87</v>
      </c>
      <c r="E443" s="8"/>
      <c r="F443" s="8" t="n">
        <v>385</v>
      </c>
      <c r="G443" s="8" t="n">
        <v>332</v>
      </c>
      <c r="H443" s="8" t="n">
        <v>317</v>
      </c>
      <c r="I443" s="8" t="n">
        <v>172</v>
      </c>
      <c r="J443" s="8" t="n">
        <v>43</v>
      </c>
      <c r="K443" s="8" t="n">
        <v>39</v>
      </c>
      <c r="L443" s="8" t="n">
        <v>63</v>
      </c>
      <c r="M443" s="8" t="n">
        <v>26</v>
      </c>
      <c r="N443" s="8" t="n">
        <v>0</v>
      </c>
      <c r="O443" s="8" t="n">
        <v>4</v>
      </c>
      <c r="P443" s="8" t="n">
        <v>1381</v>
      </c>
      <c r="Q443" s="8" t="n">
        <v>32</v>
      </c>
      <c r="R443" s="8" t="n">
        <v>1418</v>
      </c>
      <c r="S443" s="8" t="n">
        <v>1630</v>
      </c>
    </row>
    <row r="444" customFormat="false" ht="15" hidden="false" customHeight="false" outlineLevel="0" collapsed="false">
      <c r="A444" s="8" t="n">
        <v>2026</v>
      </c>
      <c r="B444" s="8" t="s">
        <v>139</v>
      </c>
      <c r="C444" s="8" t="s">
        <v>210</v>
      </c>
      <c r="D444" s="8" t="s">
        <v>89</v>
      </c>
      <c r="E444" s="8"/>
      <c r="F444" s="8" t="n">
        <v>313</v>
      </c>
      <c r="G444" s="8" t="n">
        <v>335</v>
      </c>
      <c r="H444" s="8" t="n">
        <v>364</v>
      </c>
      <c r="I444" s="8" t="n">
        <v>132</v>
      </c>
      <c r="J444" s="8" t="n">
        <v>63</v>
      </c>
      <c r="K444" s="8" t="n">
        <v>41</v>
      </c>
      <c r="L444" s="8" t="n">
        <v>84</v>
      </c>
      <c r="M444" s="8" t="n">
        <v>44</v>
      </c>
      <c r="N444" s="8" t="n">
        <v>0</v>
      </c>
      <c r="O444" s="8" t="n">
        <v>6</v>
      </c>
      <c r="P444" s="8" t="n">
        <v>1382</v>
      </c>
      <c r="Q444" s="8" t="n">
        <v>29</v>
      </c>
      <c r="R444" s="8" t="n">
        <v>1412</v>
      </c>
      <c r="S444" s="8" t="n">
        <v>1695</v>
      </c>
    </row>
    <row r="445" customFormat="false" ht="15" hidden="false" customHeight="false" outlineLevel="0" collapsed="false">
      <c r="A445" s="8" t="n">
        <v>2026</v>
      </c>
      <c r="B445" s="8" t="s">
        <v>139</v>
      </c>
      <c r="C445" s="8" t="s">
        <v>214</v>
      </c>
      <c r="D445" s="8" t="s">
        <v>91</v>
      </c>
      <c r="E445" s="8"/>
      <c r="F445" s="8" t="n">
        <v>208</v>
      </c>
      <c r="G445" s="8" t="n">
        <v>141</v>
      </c>
      <c r="H445" s="8" t="n">
        <v>186</v>
      </c>
      <c r="I445" s="8" t="n">
        <v>89</v>
      </c>
      <c r="J445" s="8" t="n">
        <v>64</v>
      </c>
      <c r="K445" s="8" t="n">
        <v>27</v>
      </c>
      <c r="L445" s="8" t="n">
        <v>41</v>
      </c>
      <c r="M445" s="8" t="n">
        <v>22</v>
      </c>
      <c r="N445" s="8" t="n">
        <v>0</v>
      </c>
      <c r="O445" s="8" t="n">
        <v>13</v>
      </c>
      <c r="P445" s="8" t="n">
        <v>791</v>
      </c>
      <c r="Q445" s="8" t="n">
        <v>14</v>
      </c>
      <c r="R445" s="8" t="n">
        <v>807</v>
      </c>
      <c r="S445" s="8" t="n">
        <v>981</v>
      </c>
    </row>
    <row r="446" customFormat="false" ht="15" hidden="false" customHeight="false" outlineLevel="0" collapsed="false">
      <c r="A446" s="8" t="n">
        <v>2026</v>
      </c>
      <c r="B446" s="8" t="s">
        <v>139</v>
      </c>
      <c r="C446" s="8" t="s">
        <v>234</v>
      </c>
      <c r="D446" s="8" t="s">
        <v>93</v>
      </c>
      <c r="E446" s="8"/>
      <c r="F446" s="8" t="n">
        <v>259</v>
      </c>
      <c r="G446" s="8" t="n">
        <v>316</v>
      </c>
      <c r="H446" s="8" t="n">
        <v>144</v>
      </c>
      <c r="I446" s="8" t="n">
        <v>131</v>
      </c>
      <c r="J446" s="8" t="n">
        <v>18</v>
      </c>
      <c r="K446" s="8" t="n">
        <v>66</v>
      </c>
      <c r="L446" s="8" t="n">
        <v>77</v>
      </c>
      <c r="M446" s="8" t="n">
        <v>48</v>
      </c>
      <c r="N446" s="8" t="n">
        <v>0</v>
      </c>
      <c r="O446" s="8" t="n">
        <v>16</v>
      </c>
      <c r="P446" s="8" t="n">
        <v>1075</v>
      </c>
      <c r="Q446" s="8" t="n">
        <v>16</v>
      </c>
      <c r="R446" s="8" t="n">
        <v>1093</v>
      </c>
      <c r="S446" s="8" t="n">
        <v>1258</v>
      </c>
    </row>
    <row r="447" customFormat="false" ht="15" hidden="false" customHeight="false" outlineLevel="0" collapsed="false">
      <c r="A447" s="8" t="n">
        <v>2026</v>
      </c>
      <c r="B447" s="8" t="s">
        <v>139</v>
      </c>
      <c r="C447" s="8" t="s">
        <v>235</v>
      </c>
      <c r="D447" s="8" t="s">
        <v>95</v>
      </c>
      <c r="E447" s="8"/>
      <c r="F447" s="8" t="n">
        <v>198</v>
      </c>
      <c r="G447" s="8" t="n">
        <v>242</v>
      </c>
      <c r="H447" s="8" t="n">
        <v>136</v>
      </c>
      <c r="I447" s="8" t="n">
        <v>115</v>
      </c>
      <c r="J447" s="8" t="n">
        <v>20</v>
      </c>
      <c r="K447" s="8" t="n">
        <v>58</v>
      </c>
      <c r="L447" s="8" t="n">
        <v>62</v>
      </c>
      <c r="M447" s="8" t="n">
        <v>33</v>
      </c>
      <c r="N447" s="8" t="n">
        <v>0</v>
      </c>
      <c r="O447" s="8" t="n">
        <v>3</v>
      </c>
      <c r="P447" s="8" t="n">
        <v>867</v>
      </c>
      <c r="Q447" s="8" t="n">
        <v>16</v>
      </c>
      <c r="R447" s="8" t="n">
        <v>884</v>
      </c>
      <c r="S447" s="8" t="n">
        <v>1001</v>
      </c>
    </row>
    <row r="448" customFormat="false" ht="15" hidden="false" customHeight="false" outlineLevel="0" collapsed="false">
      <c r="A448" s="8" t="n">
        <v>2026</v>
      </c>
      <c r="B448" s="8" t="s">
        <v>139</v>
      </c>
      <c r="C448" s="8" t="s">
        <v>146</v>
      </c>
      <c r="D448" s="8" t="s">
        <v>147</v>
      </c>
      <c r="E448" s="8" t="s">
        <v>218</v>
      </c>
      <c r="F448" s="8" t="n">
        <v>244</v>
      </c>
      <c r="G448" s="8" t="n">
        <v>145</v>
      </c>
      <c r="H448" s="8" t="n">
        <v>145</v>
      </c>
      <c r="I448" s="8" t="n">
        <v>75</v>
      </c>
      <c r="J448" s="8" t="n">
        <v>86</v>
      </c>
      <c r="K448" s="8" t="n">
        <v>25</v>
      </c>
      <c r="L448" s="8" t="n">
        <v>28</v>
      </c>
      <c r="M448" s="8" t="n">
        <v>31</v>
      </c>
      <c r="N448" s="8" t="n">
        <v>0</v>
      </c>
      <c r="O448" s="8" t="n">
        <v>7</v>
      </c>
      <c r="P448" s="8" t="n">
        <v>786</v>
      </c>
      <c r="Q448" s="8" t="n">
        <v>13</v>
      </c>
      <c r="R448" s="8"/>
      <c r="S448" s="8" t="n">
        <v>0</v>
      </c>
    </row>
  </sheetData>
  <autoFilter ref="A1:S4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2026-10-16T09:11:00Z</dcterms:created>
  <dc:creator>openpyxl</dc:creator>
  <dc:description/>
  <dc:language>en-US</dc:language>
  <cp:lastModifiedBy/>
  <dcterms:modified xsi:type="dcterms:W3CDTF">2026-10-16T14:36:06Z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